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ootcamp - Análise de Dados com Excel e Power Bi\Projeto\"/>
    </mc:Choice>
  </mc:AlternateContent>
  <xr:revisionPtr revIDLastSave="0" documentId="13_ncr:1_{784797E4-3663-4582-A30F-18E0F2123B0C}" xr6:coauthVersionLast="47" xr6:coauthVersionMax="47" xr10:uidLastSave="{00000000-0000-0000-0000-000000000000}"/>
  <bookViews>
    <workbookView xWindow="-108" yWindow="-108" windowWidth="23256" windowHeight="12456" tabRatio="380" firstSheet="5" activeTab="5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</sheets>
  <definedNames>
    <definedName name="SegmentaçãodeDados_Subscription_Typ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3" i="3"/>
</calcChain>
</file>

<file path=xl/sharedStrings.xml><?xml version="1.0" encoding="utf-8"?>
<sst xmlns="http://schemas.openxmlformats.org/spreadsheetml/2006/main" count="2732" uniqueCount="326">
  <si>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</si>
  <si>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</si>
  <si>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</si>
  <si>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</si>
  <si>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</si>
  <si>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</si>
  <si>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</si>
  <si>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</si>
  <si>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</si>
  <si>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</si>
  <si>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</si>
  <si>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</si>
  <si>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</si>
  <si>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</si>
  <si>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</si>
  <si>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</si>
  <si>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</si>
  <si>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</si>
  <si>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</si>
  <si>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</si>
  <si>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</si>
  <si>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</si>
  <si>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</si>
  <si>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</si>
  <si>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</si>
  <si>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</si>
  <si>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</si>
  <si>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</si>
  <si>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</si>
  <si>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</si>
  <si>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</si>
  <si>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</si>
  <si>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</si>
  <si>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</si>
  <si>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</si>
  <si>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</si>
  <si>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</si>
  <si>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</si>
  <si>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</si>
  <si>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</si>
  <si>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</si>
  <si>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</si>
  <si>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</si>
  <si>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</si>
  <si>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</si>
  <si>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</si>
  <si>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</si>
  <si>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</si>
  <si>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</si>
  <si>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</si>
  <si>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</si>
  <si>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</si>
  <si>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</si>
  <si>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</si>
  <si>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</si>
  <si>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</si>
  <si>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</si>
  <si>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</si>
  <si>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</si>
  <si>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</si>
  <si>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</si>
  <si>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</si>
  <si>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</si>
  <si>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</si>
  <si>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</si>
  <si>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</si>
  <si>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</si>
  <si>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</si>
  <si>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</si>
  <si>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</si>
  <si>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</si>
  <si>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</si>
  <si>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</si>
  <si>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</si>
  <si>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</si>
  <si>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</si>
  <si>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</si>
  <si>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</si>
  <si>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</si>
  <si>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</si>
  <si>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</si>
  <si>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</si>
  <si>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</si>
  <si>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</si>
  <si>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</si>
  <si>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</si>
  <si>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</si>
  <si>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</si>
  <si>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</si>
  <si>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</si>
  <si>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</si>
  <si>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</si>
  <si>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</si>
  <si>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</si>
  <si>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</si>
  <si>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</si>
  <si>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</si>
  <si>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</si>
  <si>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</si>
  <si>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</si>
  <si>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</si>
  <si>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</si>
  <si>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</si>
  <si>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</si>
  <si>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</si>
  <si>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</si>
  <si>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</si>
  <si>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</si>
  <si>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</si>
  <si>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</si>
  <si>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</si>
  <si>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</si>
  <si>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</si>
  <si>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</si>
  <si>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</si>
  <si>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</si>
  <si>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</si>
  <si>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</si>
  <si>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</si>
  <si>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</si>
  <si>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</si>
  <si>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</si>
  <si>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</si>
  <si>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</si>
  <si>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</si>
  <si>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</si>
  <si>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</si>
  <si>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</si>
  <si>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</si>
  <si>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</si>
  <si>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</si>
  <si>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</si>
  <si>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</si>
  <si>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</si>
  <si>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</si>
  <si>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</si>
  <si>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</si>
  <si>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</si>
  <si>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</si>
  <si>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</si>
  <si>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</si>
  <si>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</si>
  <si>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</si>
  <si>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</si>
  <si>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</si>
  <si>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</si>
  <si>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</si>
  <si>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</si>
  <si>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</si>
  <si>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</si>
  <si>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</si>
  <si>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</si>
  <si>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</si>
  <si>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</si>
  <si>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</si>
  <si>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</si>
  <si>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</si>
  <si>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</si>
  <si>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</si>
  <si>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</si>
  <si>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</si>
  <si>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</si>
  <si>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</si>
  <si>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</si>
  <si>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</si>
  <si>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</si>
  <si>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</si>
  <si>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</si>
  <si>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</si>
  <si>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</si>
  <si>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</si>
  <si>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</si>
  <si>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</si>
  <si>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</si>
  <si>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</si>
  <si>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</si>
  <si>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</si>
  <si>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</si>
  <si>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</si>
  <si>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</si>
  <si>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</si>
  <si>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</si>
  <si>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</si>
  <si>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</si>
  <si>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</si>
  <si>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</si>
  <si>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</si>
  <si>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</si>
  <si>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</si>
  <si>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</si>
  <si>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</si>
  <si>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</si>
  <si>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</si>
  <si>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</si>
  <si>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</si>
  <si>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</si>
  <si>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</si>
  <si>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</si>
  <si>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</si>
  <si>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</si>
  <si>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</si>
  <si>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</si>
  <si>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</si>
  <si>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</si>
  <si>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</si>
  <si>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</si>
  <si>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</si>
  <si>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</si>
  <si>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</si>
  <si>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</si>
  <si>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</si>
  <si>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</si>
  <si>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</si>
  <si>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</si>
  <si>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</si>
  <si>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</si>
  <si>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</si>
  <si>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</si>
  <si>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</si>
  <si>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</si>
  <si>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</si>
  <si>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</si>
  <si>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</si>
  <si>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</si>
  <si>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</si>
  <si>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</si>
  <si>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</si>
  <si>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</si>
  <si>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</si>
  <si>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</si>
  <si>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</si>
  <si>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</si>
  <si>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</si>
  <si>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</si>
  <si>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</si>
  <si>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</si>
  <si>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</si>
  <si>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</si>
  <si>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</si>
  <si>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</si>
  <si>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</si>
  <si>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</si>
  <si>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</si>
  <si>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</si>
  <si>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</si>
  <si>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</si>
  <si>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</si>
  <si>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</si>
  <si>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</si>
  <si>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</si>
  <si>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</si>
  <si>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</si>
  <si>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</si>
  <si>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</si>
  <si>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</si>
  <si>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</si>
  <si>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</si>
  <si>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</si>
  <si>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</si>
  <si>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</si>
  <si>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</si>
  <si>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</si>
  <si>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</si>
  <si>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</si>
  <si>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</si>
  <si>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</si>
  <si>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</si>
  <si>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</si>
  <si>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</si>
  <si>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</si>
  <si>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</si>
  <si>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</si>
  <si>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</si>
  <si>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</si>
  <si>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</si>
  <si>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</si>
  <si>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</si>
  <si>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</si>
  <si>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</si>
  <si>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</si>
  <si>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</si>
  <si>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</si>
  <si>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</si>
  <si>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</si>
  <si>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</si>
  <si>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</si>
  <si>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</si>
  <si>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</si>
  <si>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</si>
  <si>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</si>
  <si>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</si>
  <si>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</si>
  <si>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</si>
  <si>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</si>
  <si>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</si>
  <si>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</si>
  <si>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</si>
  <si>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</si>
  <si>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</si>
  <si>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</si>
  <si>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</si>
  <si>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</si>
  <si>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</si>
  <si>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</si>
  <si>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</si>
  <si>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</si>
  <si>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</si>
  <si>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</si>
  <si>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</si>
  <si>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</si>
  <si>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</si>
  <si>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</si>
  <si>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</si>
  <si>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</si>
  <si>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</si>
  <si>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</si>
  <si>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</si>
  <si>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t>Pergunta de negócio 1 - Qual faturamento total de vendas de planos anuais (contendo todas as assinaturas agregadas)?</t>
  </si>
  <si>
    <t>Pergunta de negócio 2 - Qual o faturamento total de vendas de planos anuais separado por auto renovação ou que não é por auto renovação.</t>
  </si>
  <si>
    <t>XBOX GAME PASS SUBSCRIPTIONS SALES</t>
  </si>
  <si>
    <t>Pergunta de negócio 3 - Total de vendas de assinaturas do EA play</t>
  </si>
  <si>
    <t>Soma de EA Play Season Pass</t>
  </si>
  <si>
    <t>Detalhes do Soma de EA Play Season Pass - Plan: Ultimate, Subscription Type: Annual</t>
  </si>
  <si>
    <t>Detalhes do Soma de EA Play Season Pass - Subscription Type: Quarterly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</si>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</sst>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theme="9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4" xfId="3" applyBorder="1"/>
    <xf numFmtId="14" fontId="0" fillId="0" borderId="0" xfId="0" applyNumberFormat="1"/>
    <xf numFmtId="0" fontId="3" fillId="0" borderId="0" xfId="0" applyFont="1"/>
    <xf numFmtId="0" fontId="3" fillId="8" borderId="3" xfId="0" applyFont="1" applyFill="1" applyBorder="1"/>
    <xf numFmtId="0" fontId="3" fillId="0" borderId="3" xfId="0" applyFont="1" applyBorder="1"/>
    <xf numFmtId="44" fontId="0" fillId="0" borderId="0" xfId="2" applyFont="1"/>
    <xf numFmtId="0" fontId="0" fillId="0" borderId="4" xfId="0" applyBorder="1"/>
    <xf numFmtId="0" fontId="5" fillId="0" borderId="0" xfId="3" applyFont="1" applyBorder="1" applyAlignment="1">
      <alignment horizontal="left" indent="9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8"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000000"/>
      </font>
      <fill>
        <patternFill>
          <fgColor theme="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78E530B-F175-46F6-B505-A93C7D47EF48}">
      <tableStyleElement type="wholeTable" dxfId="17"/>
      <tableStyleElement type="headerRow" dxfId="16"/>
    </tableStyle>
  </tableStyles>
  <colors>
    <mruColors>
      <color rgb="FF22C55E"/>
      <color rgb="FF5BF6A8"/>
      <color rgb="FF000000"/>
      <color rgb="FF2AE6B1"/>
      <color rgb="FFE8E6E9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dinâmica1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5-4A3F-9785-1676DB3B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5878016"/>
        <c:axId val="1145878496"/>
      </c:barChart>
      <c:catAx>
        <c:axId val="114587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78496"/>
        <c:crosses val="autoZero"/>
        <c:auto val="1"/>
        <c:lblAlgn val="ctr"/>
        <c:lblOffset val="100"/>
        <c:noMultiLvlLbl val="0"/>
      </c:catAx>
      <c:valAx>
        <c:axId val="11458784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587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200025</xdr:colOff>
      <xdr:row>0</xdr:row>
      <xdr:rowOff>0</xdr:rowOff>
    </xdr:from>
    <xdr:to>
      <xdr:col>2</xdr:col>
      <xdr:colOff>457200</xdr:colOff>
      <xdr:row>2</xdr:row>
      <xdr:rowOff>133351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DF826E-D39C-4AF4-8545-8D9A956F0E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81" t="15734" r="72937" b="24475"/>
        <a:stretch>
          <a:fillRect/>
        </a:stretch>
      </xdr:blipFill>
      <xdr:spPr>
        <a:xfrm>
          <a:off x="2200275" y="0"/>
          <a:ext cx="504825" cy="54292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590550</xdr:rowOff>
    </xdr:from>
    <xdr:to>
      <xdr:col>0</xdr:col>
      <xdr:colOff>1990724</xdr:colOff>
      <xdr:row>10</xdr:row>
      <xdr:rowOff>163830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5720B61-C8AF-465A-BAC6-35D326256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71625"/>
              <a:ext cx="1990724" cy="1363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133350</xdr:colOff>
      <xdr:row>3</xdr:row>
      <xdr:rowOff>176212</xdr:rowOff>
    </xdr:from>
    <xdr:to>
      <xdr:col>7</xdr:col>
      <xdr:colOff>476250</xdr:colOff>
      <xdr:row>8</xdr:row>
      <xdr:rowOff>71437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469F4AA-D2F2-47A8-E6D2-1B1710B8D63F}"/>
            </a:ext>
          </a:extLst>
        </xdr:cNvPr>
        <xdr:cNvGrpSpPr/>
      </xdr:nvGrpSpPr>
      <xdr:grpSpPr>
        <a:xfrm>
          <a:off x="2133600" y="1157287"/>
          <a:ext cx="3638550" cy="1085850"/>
          <a:chOff x="2133600" y="1123950"/>
          <a:chExt cx="3638550" cy="108585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B74E285-642D-CD09-EE5B-E7622F21B13E}"/>
              </a:ext>
            </a:extLst>
          </xdr:cNvPr>
          <xdr:cNvSpPr/>
        </xdr:nvSpPr>
        <xdr:spPr>
          <a:xfrm>
            <a:off x="2143124" y="1123950"/>
            <a:ext cx="3629025" cy="1085850"/>
          </a:xfrm>
          <a:prstGeom prst="roundRect">
            <a:avLst>
              <a:gd name="adj" fmla="val 78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8F939F0-6B8C-4D5A-99E7-BB6A8DEB3F02}"/>
              </a:ext>
            </a:extLst>
          </xdr:cNvPr>
          <xdr:cNvSpPr/>
        </xdr:nvSpPr>
        <xdr:spPr>
          <a:xfrm>
            <a:off x="3000374" y="1438275"/>
            <a:ext cx="2686051" cy="752475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AC8F6BC-9E77-4752-994A-E434965182BF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en-US" sz="239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B0C36041-2AE8-48A9-875C-9CFB1B340E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5049" y="1457325"/>
            <a:ext cx="747059" cy="714375"/>
          </a:xfrm>
          <a:prstGeom prst="rect">
            <a:avLst/>
          </a:prstGeom>
        </xdr:spPr>
      </xdr:pic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B023AE9-103B-FEB5-20AC-2264EC1C0B4B}"/>
              </a:ext>
            </a:extLst>
          </xdr:cNvPr>
          <xdr:cNvSpPr/>
        </xdr:nvSpPr>
        <xdr:spPr>
          <a:xfrm>
            <a:off x="2133600" y="1123950"/>
            <a:ext cx="3638550" cy="32385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8</xdr:col>
      <xdr:colOff>123825</xdr:colOff>
      <xdr:row>3</xdr:row>
      <xdr:rowOff>176212</xdr:rowOff>
    </xdr:from>
    <xdr:to>
      <xdr:col>14</xdr:col>
      <xdr:colOff>266700</xdr:colOff>
      <xdr:row>8</xdr:row>
      <xdr:rowOff>71437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943C3621-8DAB-4D07-8A20-3A2B9C817E32}"/>
            </a:ext>
          </a:extLst>
        </xdr:cNvPr>
        <xdr:cNvGrpSpPr/>
      </xdr:nvGrpSpPr>
      <xdr:grpSpPr>
        <a:xfrm>
          <a:off x="6029325" y="1157287"/>
          <a:ext cx="3638550" cy="1085850"/>
          <a:chOff x="2133600" y="1123950"/>
          <a:chExt cx="3638550" cy="108585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B341746-FAA8-46EA-BBD0-4A4FD6FCBA63}"/>
              </a:ext>
            </a:extLst>
          </xdr:cNvPr>
          <xdr:cNvSpPr/>
        </xdr:nvSpPr>
        <xdr:spPr>
          <a:xfrm>
            <a:off x="2143124" y="1123950"/>
            <a:ext cx="3629025" cy="1085850"/>
          </a:xfrm>
          <a:prstGeom prst="roundRect">
            <a:avLst>
              <a:gd name="adj" fmla="val 78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3600">
              <a:latin typeface="+mn-lt"/>
            </a:endParaRPr>
          </a:p>
        </xdr:txBody>
      </xdr:sp>
      <xdr:sp macro="" textlink="C̳álculos!E3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CA14F97-BE44-5184-2863-931F580847A1}"/>
              </a:ext>
            </a:extLst>
          </xdr:cNvPr>
          <xdr:cNvSpPr/>
        </xdr:nvSpPr>
        <xdr:spPr>
          <a:xfrm>
            <a:off x="3000374" y="1438275"/>
            <a:ext cx="2686051" cy="752475"/>
          </a:xfrm>
          <a:prstGeom prst="roundRect">
            <a:avLst>
              <a:gd name="adj" fmla="val 789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AC0CDC3-5B41-4110-A8C2-540979AE1E1B}" type="TxLink">
              <a:rPr lang="en-US" sz="4400" b="0" i="0" u="none" strike="noStrike">
                <a:solidFill>
                  <a:srgbClr val="22C55E"/>
                </a:solidFill>
                <a:latin typeface="+mn-lt"/>
              </a:rPr>
              <a:pPr algn="ctr"/>
              <a:t> R$ 940,00 </a:t>
            </a:fld>
            <a:endParaRPr lang="en-US" sz="4400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A84D4E29-86AF-0C10-10FC-68C182FFF32C}"/>
              </a:ext>
            </a:extLst>
          </xdr:cNvPr>
          <xdr:cNvSpPr/>
        </xdr:nvSpPr>
        <xdr:spPr>
          <a:xfrm>
            <a:off x="2133600" y="1123950"/>
            <a:ext cx="3638550" cy="32385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+mn-lt"/>
              </a:rPr>
              <a:t>TOTAL SUBSCRIPTIONS MINECRAFT</a:t>
            </a:r>
            <a:r>
              <a:rPr lang="pt-BR" sz="1100" b="1" baseline="0">
                <a:latin typeface="+mn-lt"/>
              </a:rPr>
              <a:t> SEASON PASS</a:t>
            </a:r>
            <a:endParaRPr lang="pt-BR" sz="1100" b="1">
              <a:latin typeface="+mn-lt"/>
            </a:endParaRPr>
          </a:p>
        </xdr:txBody>
      </xdr:sp>
    </xdr:grpSp>
    <xdr:clientData/>
  </xdr:twoCellAnchor>
  <xdr:twoCellAnchor editAs="absolute">
    <xdr:from>
      <xdr:col>8</xdr:col>
      <xdr:colOff>219075</xdr:colOff>
      <xdr:row>3</xdr:row>
      <xdr:rowOff>671513</xdr:rowOff>
    </xdr:from>
    <xdr:to>
      <xdr:col>9</xdr:col>
      <xdr:colOff>514350</xdr:colOff>
      <xdr:row>7</xdr:row>
      <xdr:rowOff>14288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FF234B93-250A-4F04-83F7-2B3D5544E5B5}"/>
            </a:ext>
          </a:extLst>
        </xdr:cNvPr>
        <xdr:cNvGrpSpPr/>
      </xdr:nvGrpSpPr>
      <xdr:grpSpPr>
        <a:xfrm>
          <a:off x="6124575" y="1652588"/>
          <a:ext cx="904875" cy="409575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8D0291C1-3052-4DE7-46C2-BF28D302B3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5DA7ED2B-CA9A-98AC-CE55-FF760C0EB6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123826</xdr:colOff>
      <xdr:row>9</xdr:row>
      <xdr:rowOff>95249</xdr:rowOff>
    </xdr:from>
    <xdr:to>
      <xdr:col>14</xdr:col>
      <xdr:colOff>323850</xdr:colOff>
      <xdr:row>28</xdr:row>
      <xdr:rowOff>76200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3D8A854-7B53-0ACF-EE5E-7937894244BE}"/>
            </a:ext>
          </a:extLst>
        </xdr:cNvPr>
        <xdr:cNvGrpSpPr/>
      </xdr:nvGrpSpPr>
      <xdr:grpSpPr>
        <a:xfrm>
          <a:off x="2124076" y="2686049"/>
          <a:ext cx="7600949" cy="3419476"/>
          <a:chOff x="2124076" y="2686049"/>
          <a:chExt cx="7600949" cy="3419476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C8EFF74-3F12-44B4-BBC0-5EB60990B795}"/>
              </a:ext>
            </a:extLst>
          </xdr:cNvPr>
          <xdr:cNvGraphicFramePr>
            <a:graphicFrameLocks/>
          </xdr:cNvGraphicFramePr>
        </xdr:nvGraphicFramePr>
        <xdr:xfrm>
          <a:off x="2124076" y="2952749"/>
          <a:ext cx="7591424" cy="31527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DAE7C9E6-5B45-4F0F-B67C-9DA08DD2A7CC}"/>
              </a:ext>
            </a:extLst>
          </xdr:cNvPr>
          <xdr:cNvSpPr/>
        </xdr:nvSpPr>
        <xdr:spPr>
          <a:xfrm>
            <a:off x="2133600" y="2686049"/>
            <a:ext cx="7591425" cy="428625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</a:t>
            </a:r>
            <a:r>
              <a:rPr lang="pt-BR" sz="1100" b="1" baseline="0"/>
              <a:t>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114300</xdr:colOff>
      <xdr:row>0</xdr:row>
      <xdr:rowOff>95250</xdr:rowOff>
    </xdr:from>
    <xdr:to>
      <xdr:col>0</xdr:col>
      <xdr:colOff>809625</xdr:colOff>
      <xdr:row>2</xdr:row>
      <xdr:rowOff>348615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311D59E-C37D-4D10-8A1D-BAD572E89874}"/>
            </a:ext>
          </a:extLst>
        </xdr:cNvPr>
        <xdr:cNvSpPr/>
      </xdr:nvSpPr>
      <xdr:spPr>
        <a:xfrm>
          <a:off x="114300" y="952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66675</xdr:colOff>
      <xdr:row>3</xdr:row>
      <xdr:rowOff>161925</xdr:rowOff>
    </xdr:from>
    <xdr:to>
      <xdr:col>0</xdr:col>
      <xdr:colOff>1962150</xdr:colOff>
      <xdr:row>3</xdr:row>
      <xdr:rowOff>495300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5BF58C75-DB96-2AF7-C070-2DD3DB992D87}"/>
            </a:ext>
          </a:extLst>
        </xdr:cNvPr>
        <xdr:cNvSpPr/>
      </xdr:nvSpPr>
      <xdr:spPr>
        <a:xfrm>
          <a:off x="66675" y="1143000"/>
          <a:ext cx="18954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</a:t>
          </a:r>
          <a:r>
            <a:rPr lang="pt-BR" sz="1100" b="1" baseline="0"/>
            <a:t> </a:t>
          </a:r>
          <a:r>
            <a:rPr lang="pt-BR" sz="1100" b="1"/>
            <a:t>Bem-vinda,</a:t>
          </a:r>
          <a:r>
            <a:rPr lang="pt-BR" sz="1100" b="1" baseline="0"/>
            <a:t> Liana</a:t>
          </a:r>
          <a:endParaRPr lang="pt-BR" sz="1100" b="1"/>
        </a:p>
      </xdr:txBody>
    </xdr:sp>
    <xdr:clientData/>
  </xdr:twoCellAnchor>
  <xdr:twoCellAnchor editAs="absolute">
    <xdr:from>
      <xdr:col>1</xdr:col>
      <xdr:colOff>123825</xdr:colOff>
      <xdr:row>8</xdr:row>
      <xdr:rowOff>95250</xdr:rowOff>
    </xdr:from>
    <xdr:to>
      <xdr:col>9</xdr:col>
      <xdr:colOff>285750</xdr:colOff>
      <xdr:row>8</xdr:row>
      <xdr:rowOff>381001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4266132-C5D8-4E6A-9455-0BC57A521C7F}"/>
            </a:ext>
          </a:extLst>
        </xdr:cNvPr>
        <xdr:cNvSpPr/>
      </xdr:nvSpPr>
      <xdr:spPr>
        <a:xfrm>
          <a:off x="2124075" y="2266950"/>
          <a:ext cx="4676775" cy="2857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ysClr val="windowText" lastClr="000000"/>
              </a:solidFill>
            </a:rPr>
            <a:t>Período</a:t>
          </a:r>
          <a:r>
            <a:rPr lang="pt-BR" sz="1100" b="0" baseline="0">
              <a:solidFill>
                <a:sysClr val="windowText" lastClr="000000"/>
              </a:solidFill>
            </a:rPr>
            <a:t> de apuração: 01/01/2024 - 31/12/2024 | Update date: 07/11/2025 12:08</a:t>
          </a:r>
          <a:endParaRPr lang="pt-BR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Caroline Macedo de Castro" refreshedDate="45967.609907060185" createdVersion="8" refreshedVersion="8" minRefreshableVersion="3" recordCount="295" xr:uid="{4E56479A-BC9E-4DCE-815C-15ABF659D1E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84192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00ED3-CD3F-4250-BA00-C4FCC6E90E1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ADD21-F574-4B59-A287-9D88C035C136}" name="tbl_EA Play season 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10D57-B256-4E92-9935-35F6EBDFEE9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3DD0BE-3959-4ACA-A7F4-C0AF3F6B9E58}" sourceName="Subscription Type">
  <pivotTables>
    <pivotTable tabId="3" name="Tabela dinâmica1"/>
    <pivotTable tabId="3" name="tbl_EA Play season pass"/>
    <pivotTable tabId="3" name="Tabela dinâmica3"/>
  </pivotTables>
  <data>
    <tabular pivotCacheId="168419279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F448200-9FC4-4B97-A364-7F2E59C02CC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8">
      <filters>
        <filter val="R$ 30,00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97AD78-18D2-4F18-9B32-ECBD4DF90002}" name="Tabela2" displayName="Tabela2" ref="A3:M23" totalsRowShown="0">
  <autoFilter ref="A3:M23" xr:uid="{C197AD78-18D2-4F18-9B32-ECBD4DF90002}"/>
  <tableColumns count="13">
    <tableColumn id="1" xr3:uid="{FD45CFAC-8A92-4B46-A81F-4CF7BD960D09}" name="Subscriber ID"/>
    <tableColumn id="2" xr3:uid="{844FC11F-4840-41BD-989D-0F68E3BE62E9}" name="Name"/>
    <tableColumn id="3" xr3:uid="{F4EACE46-4BBA-40B5-8270-8DD6D8EA5977}" name="Plan"/>
    <tableColumn id="4" xr3:uid="{1BA82BBB-9BAB-4829-A25D-863705D6A8D2}" name="Start Date" dataDxfId="1"/>
    <tableColumn id="5" xr3:uid="{5AE5C669-6E5C-4E4D-9F65-D2DB3EABD40A}" name="Auto Renewal"/>
    <tableColumn id="6" xr3:uid="{FAD00D9E-D095-48B9-AA87-3CD294144C54}" name="Subscription Price"/>
    <tableColumn id="7" xr3:uid="{D3C0EC61-93EC-41A7-80DA-5980EAFA42E9}" name="Subscription Type"/>
    <tableColumn id="8" xr3:uid="{7509CB13-1B23-499D-BD7E-9E4DF998D420}" name="EA Play Season Pass"/>
    <tableColumn id="9" xr3:uid="{91F3F4A6-A4E6-4E08-A8C4-3A48E566AD4B}" name="EA Play Season Pass_x000a_Price"/>
    <tableColumn id="10" xr3:uid="{DCA84BF5-FA7A-4EBF-900F-613701902F33}" name="Minecraft Season Pass"/>
    <tableColumn id="11" xr3:uid="{46BD3981-AE53-4B7B-A80B-420710762B19}" name="Minecraft Season Pass Price"/>
    <tableColumn id="12" xr3:uid="{AA229A47-BA93-4A29-B265-6E27B9775019}" name="Coupon Value"/>
    <tableColumn id="13" xr3:uid="{168D8500-3DA4-4108-A83B-D990779BC158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CB103-ABD7-4430-A0EB-C704183E9909}" name="Tabela3" displayName="Tabela3" ref="A3:M88" totalsRowShown="0">
  <autoFilter ref="A3:M88" xr:uid="{8AFCB103-ABD7-4430-A0EB-C704183E9909}"/>
  <tableColumns count="13">
    <tableColumn id="1" xr3:uid="{5741EB0B-4E88-4B49-9C7B-5048A8608A29}" name="Subscriber ID"/>
    <tableColumn id="2" xr3:uid="{11B1BB88-FA56-47BB-BC0A-47F15725B648}" name="Name"/>
    <tableColumn id="3" xr3:uid="{72B60C59-8364-4EBC-B726-6D9C011870F3}" name="Plan"/>
    <tableColumn id="4" xr3:uid="{1B3807B3-5072-402C-917D-6DE439A10D46}" name="Start Date" dataDxfId="0"/>
    <tableColumn id="5" xr3:uid="{3C2BEFE2-B64E-4E6B-A765-850CB8896EEC}" name="Auto Renewal"/>
    <tableColumn id="6" xr3:uid="{4DB99F30-5B41-4BE8-8CB7-EE86EA447614}" name="Subscription Price"/>
    <tableColumn id="7" xr3:uid="{DAC8FB05-A932-4272-9C3A-A031D053EDC9}" name="Subscription Type"/>
    <tableColumn id="8" xr3:uid="{F9C7C160-1975-455F-9C39-8B63007BC9A3}" name="EA Play Season Pass"/>
    <tableColumn id="9" xr3:uid="{764C644E-847E-4709-BCE2-8A28460E5000}" name="EA Play Season Pass_x000a_Price"/>
    <tableColumn id="10" xr3:uid="{5ACFE283-EE8F-49B8-9CB0-56A60EBCA50A}" name="Minecraft Season Pass"/>
    <tableColumn id="11" xr3:uid="{6FDDD05D-3850-4A82-B1F2-BA44C3F54BEE}" name="Minecraft Season Pass Price"/>
    <tableColumn id="12" xr3:uid="{82F8F879-302A-48FD-8030-F3BBF82FFB38}" name="Coupon Value"/>
    <tableColumn id="13" xr3:uid="{95E2C3DB-FFD6-474E-BA2A-6D96E48C31A4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</a:spPr>
      <a:bodyPr vertOverflow="clip" horzOverflow="clip" rtlCol="0" anchor="t"/>
      <a:lstStyle>
        <a:defPPr algn="l">
          <a:defRPr sz="1100" b="1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42" sqref="E4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42" sqref="E4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CFD5-83E6-4C10-8A95-CA8B1FF6BA4F}">
  <sheetPr>
    <tabColor theme="3" tint="0.749992370372631"/>
  </sheetPr>
  <dimension ref="A1:M23"/>
  <sheetViews>
    <sheetView workbookViewId="0">
      <selection activeCell="E42" sqref="E42"/>
    </sheetView>
  </sheetViews>
  <sheetFormatPr defaultRowHeight="14.4" x14ac:dyDescent="0.3"/>
  <cols>
    <col min="1" max="1" width="14.44140625" bestFit="1" customWidth="1"/>
    <col min="2" max="2" width="14.7773437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7" t="s">
        <v>322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3520</v>
      </c>
      <c r="B4" t="s">
        <v>303</v>
      </c>
      <c r="C4" t="s">
        <v>18</v>
      </c>
      <c r="D4" s="16">
        <v>45637</v>
      </c>
      <c r="E4" t="s">
        <v>19</v>
      </c>
      <c r="F4">
        <v>15</v>
      </c>
      <c r="G4" t="s">
        <v>24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3508</v>
      </c>
      <c r="B5" t="s">
        <v>294</v>
      </c>
      <c r="C5" t="s">
        <v>18</v>
      </c>
      <c r="D5" s="16">
        <v>45625</v>
      </c>
      <c r="E5" t="s">
        <v>19</v>
      </c>
      <c r="F5">
        <v>15</v>
      </c>
      <c r="G5" t="s">
        <v>24</v>
      </c>
      <c r="H5" t="s">
        <v>19</v>
      </c>
      <c r="I5">
        <v>30</v>
      </c>
      <c r="J5" t="s">
        <v>19</v>
      </c>
      <c r="K5">
        <v>20</v>
      </c>
      <c r="L5">
        <v>3</v>
      </c>
      <c r="M5">
        <v>62</v>
      </c>
    </row>
    <row r="6" spans="1:13" x14ac:dyDescent="0.3">
      <c r="A6">
        <v>3496</v>
      </c>
      <c r="B6" t="s">
        <v>283</v>
      </c>
      <c r="C6" t="s">
        <v>18</v>
      </c>
      <c r="D6" s="16">
        <v>45613</v>
      </c>
      <c r="E6" t="s">
        <v>19</v>
      </c>
      <c r="F6">
        <v>15</v>
      </c>
      <c r="G6" t="s">
        <v>24</v>
      </c>
      <c r="H6" t="s">
        <v>19</v>
      </c>
      <c r="I6">
        <v>30</v>
      </c>
      <c r="J6" t="s">
        <v>19</v>
      </c>
      <c r="K6">
        <v>20</v>
      </c>
      <c r="L6">
        <v>5</v>
      </c>
      <c r="M6">
        <v>60</v>
      </c>
    </row>
    <row r="7" spans="1:13" x14ac:dyDescent="0.3">
      <c r="A7">
        <v>3482</v>
      </c>
      <c r="B7" t="s">
        <v>269</v>
      </c>
      <c r="C7" t="s">
        <v>18</v>
      </c>
      <c r="D7" s="16">
        <v>45599</v>
      </c>
      <c r="E7" t="s">
        <v>19</v>
      </c>
      <c r="F7">
        <v>15</v>
      </c>
      <c r="G7" t="s">
        <v>24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3470</v>
      </c>
      <c r="B8" t="s">
        <v>258</v>
      </c>
      <c r="C8" t="s">
        <v>18</v>
      </c>
      <c r="D8" s="16">
        <v>45587</v>
      </c>
      <c r="E8" t="s">
        <v>19</v>
      </c>
      <c r="F8">
        <v>15</v>
      </c>
      <c r="G8" t="s">
        <v>24</v>
      </c>
      <c r="H8" t="s">
        <v>19</v>
      </c>
      <c r="I8">
        <v>30</v>
      </c>
      <c r="J8" t="s">
        <v>19</v>
      </c>
      <c r="K8">
        <v>20</v>
      </c>
      <c r="L8">
        <v>5</v>
      </c>
      <c r="M8">
        <v>60</v>
      </c>
    </row>
    <row r="9" spans="1:13" x14ac:dyDescent="0.3">
      <c r="A9">
        <v>3458</v>
      </c>
      <c r="B9" t="s">
        <v>247</v>
      </c>
      <c r="C9" t="s">
        <v>18</v>
      </c>
      <c r="D9" s="16">
        <v>45575</v>
      </c>
      <c r="E9" t="s">
        <v>19</v>
      </c>
      <c r="F9">
        <v>15</v>
      </c>
      <c r="G9" t="s">
        <v>24</v>
      </c>
      <c r="H9" t="s">
        <v>19</v>
      </c>
      <c r="I9">
        <v>30</v>
      </c>
      <c r="J9" t="s">
        <v>19</v>
      </c>
      <c r="K9">
        <v>20</v>
      </c>
      <c r="L9">
        <v>3</v>
      </c>
      <c r="M9">
        <v>62</v>
      </c>
    </row>
    <row r="10" spans="1:13" x14ac:dyDescent="0.3">
      <c r="A10">
        <v>3446</v>
      </c>
      <c r="B10" t="s">
        <v>237</v>
      </c>
      <c r="C10" t="s">
        <v>18</v>
      </c>
      <c r="D10" s="16">
        <v>45563</v>
      </c>
      <c r="E10" t="s">
        <v>19</v>
      </c>
      <c r="F10">
        <v>15</v>
      </c>
      <c r="G10" t="s">
        <v>24</v>
      </c>
      <c r="H10" t="s">
        <v>19</v>
      </c>
      <c r="I10">
        <v>30</v>
      </c>
      <c r="J10" t="s">
        <v>19</v>
      </c>
      <c r="K10">
        <v>20</v>
      </c>
      <c r="L10">
        <v>5</v>
      </c>
      <c r="M10">
        <v>60</v>
      </c>
    </row>
    <row r="11" spans="1:13" x14ac:dyDescent="0.3">
      <c r="A11">
        <v>3428</v>
      </c>
      <c r="B11" t="s">
        <v>220</v>
      </c>
      <c r="C11" t="s">
        <v>18</v>
      </c>
      <c r="D11" s="16">
        <v>45545</v>
      </c>
      <c r="E11" t="s">
        <v>19</v>
      </c>
      <c r="F11">
        <v>15</v>
      </c>
      <c r="G11" t="s">
        <v>24</v>
      </c>
      <c r="H11" t="s">
        <v>19</v>
      </c>
      <c r="I11">
        <v>30</v>
      </c>
      <c r="J11" t="s">
        <v>19</v>
      </c>
      <c r="K11">
        <v>20</v>
      </c>
      <c r="L11">
        <v>3</v>
      </c>
      <c r="M11">
        <v>62</v>
      </c>
    </row>
    <row r="12" spans="1:13" x14ac:dyDescent="0.3">
      <c r="A12">
        <v>3416</v>
      </c>
      <c r="B12" t="s">
        <v>211</v>
      </c>
      <c r="C12" t="s">
        <v>18</v>
      </c>
      <c r="D12" s="16">
        <v>45533</v>
      </c>
      <c r="E12" t="s">
        <v>19</v>
      </c>
      <c r="F12">
        <v>15</v>
      </c>
      <c r="G12" t="s">
        <v>24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3400</v>
      </c>
      <c r="B13" t="s">
        <v>195</v>
      </c>
      <c r="C13" t="s">
        <v>18</v>
      </c>
      <c r="D13" s="16">
        <v>45517</v>
      </c>
      <c r="E13" t="s">
        <v>19</v>
      </c>
      <c r="F13">
        <v>15</v>
      </c>
      <c r="G13" t="s">
        <v>24</v>
      </c>
      <c r="H13" t="s">
        <v>19</v>
      </c>
      <c r="I13">
        <v>30</v>
      </c>
      <c r="J13" t="s">
        <v>19</v>
      </c>
      <c r="K13">
        <v>20</v>
      </c>
      <c r="L13">
        <v>5</v>
      </c>
      <c r="M13">
        <v>60</v>
      </c>
    </row>
    <row r="14" spans="1:13" x14ac:dyDescent="0.3">
      <c r="A14">
        <v>3388</v>
      </c>
      <c r="B14" t="s">
        <v>185</v>
      </c>
      <c r="C14" t="s">
        <v>18</v>
      </c>
      <c r="D14" s="16">
        <v>45505</v>
      </c>
      <c r="E14" t="s">
        <v>19</v>
      </c>
      <c r="F14">
        <v>15</v>
      </c>
      <c r="G14" t="s">
        <v>24</v>
      </c>
      <c r="H14" t="s">
        <v>19</v>
      </c>
      <c r="I14">
        <v>30</v>
      </c>
      <c r="J14" t="s">
        <v>19</v>
      </c>
      <c r="K14">
        <v>20</v>
      </c>
      <c r="L14">
        <v>3</v>
      </c>
      <c r="M14">
        <v>62</v>
      </c>
    </row>
    <row r="15" spans="1:13" x14ac:dyDescent="0.3">
      <c r="A15">
        <v>3242</v>
      </c>
      <c r="B15" t="s">
        <v>40</v>
      </c>
      <c r="C15" t="s">
        <v>18</v>
      </c>
      <c r="D15" s="16">
        <v>45359</v>
      </c>
      <c r="E15" t="s">
        <v>19</v>
      </c>
      <c r="F15">
        <v>15</v>
      </c>
      <c r="G15" t="s">
        <v>24</v>
      </c>
      <c r="H15" t="s">
        <v>19</v>
      </c>
      <c r="I15">
        <v>30</v>
      </c>
      <c r="J15" t="s">
        <v>19</v>
      </c>
      <c r="K15">
        <v>20</v>
      </c>
      <c r="L15">
        <v>20</v>
      </c>
      <c r="M15">
        <v>45</v>
      </c>
    </row>
    <row r="16" spans="1:13" x14ac:dyDescent="0.3">
      <c r="A16">
        <v>3376</v>
      </c>
      <c r="B16" t="s">
        <v>173</v>
      </c>
      <c r="C16" t="s">
        <v>18</v>
      </c>
      <c r="D16" s="16">
        <v>45493</v>
      </c>
      <c r="E16" t="s">
        <v>19</v>
      </c>
      <c r="F16">
        <v>15</v>
      </c>
      <c r="G16" t="s">
        <v>24</v>
      </c>
      <c r="H16" t="s">
        <v>19</v>
      </c>
      <c r="I16">
        <v>30</v>
      </c>
      <c r="J16" t="s">
        <v>19</v>
      </c>
      <c r="K16">
        <v>20</v>
      </c>
      <c r="L16">
        <v>5</v>
      </c>
      <c r="M16">
        <v>60</v>
      </c>
    </row>
    <row r="17" spans="1:13" x14ac:dyDescent="0.3">
      <c r="A17">
        <v>3358</v>
      </c>
      <c r="B17" t="s">
        <v>155</v>
      </c>
      <c r="C17" t="s">
        <v>18</v>
      </c>
      <c r="D17" s="16">
        <v>45475</v>
      </c>
      <c r="E17" t="s">
        <v>19</v>
      </c>
      <c r="F17">
        <v>15</v>
      </c>
      <c r="G17" t="s">
        <v>24</v>
      </c>
      <c r="H17" t="s">
        <v>19</v>
      </c>
      <c r="I17">
        <v>30</v>
      </c>
      <c r="J17" t="s">
        <v>19</v>
      </c>
      <c r="K17">
        <v>20</v>
      </c>
      <c r="L17">
        <v>3</v>
      </c>
      <c r="M17">
        <v>62</v>
      </c>
    </row>
    <row r="18" spans="1:13" x14ac:dyDescent="0.3">
      <c r="A18">
        <v>3346</v>
      </c>
      <c r="B18" t="s">
        <v>144</v>
      </c>
      <c r="C18" t="s">
        <v>18</v>
      </c>
      <c r="D18" s="16">
        <v>45463</v>
      </c>
      <c r="E18" t="s">
        <v>19</v>
      </c>
      <c r="F18">
        <v>15</v>
      </c>
      <c r="G18" t="s">
        <v>24</v>
      </c>
      <c r="H18" t="s">
        <v>19</v>
      </c>
      <c r="I18">
        <v>30</v>
      </c>
      <c r="J18" t="s">
        <v>19</v>
      </c>
      <c r="K18">
        <v>20</v>
      </c>
      <c r="L18">
        <v>5</v>
      </c>
      <c r="M18">
        <v>60</v>
      </c>
    </row>
    <row r="19" spans="1:13" x14ac:dyDescent="0.3">
      <c r="A19">
        <v>3318</v>
      </c>
      <c r="B19" t="s">
        <v>116</v>
      </c>
      <c r="C19" t="s">
        <v>18</v>
      </c>
      <c r="D19" s="16">
        <v>45435</v>
      </c>
      <c r="E19" t="s">
        <v>23</v>
      </c>
      <c r="F19">
        <v>15</v>
      </c>
      <c r="G19" t="s">
        <v>24</v>
      </c>
      <c r="H19" t="s">
        <v>19</v>
      </c>
      <c r="I19">
        <v>30</v>
      </c>
      <c r="J19" t="s">
        <v>19</v>
      </c>
      <c r="K19">
        <v>20</v>
      </c>
      <c r="L19">
        <v>3</v>
      </c>
      <c r="M19">
        <v>62</v>
      </c>
    </row>
    <row r="20" spans="1:13" x14ac:dyDescent="0.3">
      <c r="A20">
        <v>3306</v>
      </c>
      <c r="B20" t="s">
        <v>104</v>
      </c>
      <c r="C20" t="s">
        <v>18</v>
      </c>
      <c r="D20" s="16">
        <v>45423</v>
      </c>
      <c r="E20" t="s">
        <v>23</v>
      </c>
      <c r="F20">
        <v>15</v>
      </c>
      <c r="G20" t="s">
        <v>24</v>
      </c>
      <c r="H20" t="s">
        <v>19</v>
      </c>
      <c r="I20">
        <v>30</v>
      </c>
      <c r="J20" t="s">
        <v>19</v>
      </c>
      <c r="K20">
        <v>20</v>
      </c>
      <c r="L20">
        <v>5</v>
      </c>
      <c r="M20">
        <v>60</v>
      </c>
    </row>
    <row r="21" spans="1:13" x14ac:dyDescent="0.3">
      <c r="A21">
        <v>3288</v>
      </c>
      <c r="B21" t="s">
        <v>86</v>
      </c>
      <c r="C21" t="s">
        <v>18</v>
      </c>
      <c r="D21" s="16">
        <v>45405</v>
      </c>
      <c r="E21" t="s">
        <v>19</v>
      </c>
      <c r="F21">
        <v>15</v>
      </c>
      <c r="G21" t="s">
        <v>24</v>
      </c>
      <c r="H21" t="s">
        <v>19</v>
      </c>
      <c r="I21">
        <v>30</v>
      </c>
      <c r="J21" t="s">
        <v>19</v>
      </c>
      <c r="K21">
        <v>20</v>
      </c>
      <c r="L21">
        <v>3</v>
      </c>
      <c r="M21">
        <v>62</v>
      </c>
    </row>
    <row r="22" spans="1:13" x14ac:dyDescent="0.3">
      <c r="A22">
        <v>3276</v>
      </c>
      <c r="B22" t="s">
        <v>74</v>
      </c>
      <c r="C22" t="s">
        <v>18</v>
      </c>
      <c r="D22" s="16">
        <v>45393</v>
      </c>
      <c r="E22" t="s">
        <v>19</v>
      </c>
      <c r="F22">
        <v>15</v>
      </c>
      <c r="G22" t="s">
        <v>24</v>
      </c>
      <c r="H22" t="s">
        <v>19</v>
      </c>
      <c r="I22">
        <v>30</v>
      </c>
      <c r="J22" t="s">
        <v>19</v>
      </c>
      <c r="K22">
        <v>20</v>
      </c>
      <c r="L22">
        <v>5</v>
      </c>
      <c r="M22">
        <v>60</v>
      </c>
    </row>
    <row r="23" spans="1:13" x14ac:dyDescent="0.3">
      <c r="A23">
        <v>3254</v>
      </c>
      <c r="B23" t="s">
        <v>52</v>
      </c>
      <c r="C23" t="s">
        <v>18</v>
      </c>
      <c r="D23" s="16">
        <v>45371</v>
      </c>
      <c r="E23" t="s">
        <v>19</v>
      </c>
      <c r="F23">
        <v>15</v>
      </c>
      <c r="G23" t="s">
        <v>24</v>
      </c>
      <c r="H23" t="s">
        <v>19</v>
      </c>
      <c r="I23">
        <v>30</v>
      </c>
      <c r="J23" t="s">
        <v>19</v>
      </c>
      <c r="K23">
        <v>20</v>
      </c>
      <c r="L23">
        <v>20</v>
      </c>
      <c r="M23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F23C-30B3-43AB-9924-8762088A7C79}">
  <sheetPr>
    <tabColor theme="3" tint="0.749992370372631"/>
  </sheetPr>
  <dimension ref="A1:M88"/>
  <sheetViews>
    <sheetView workbookViewId="0">
      <selection activeCell="E42" sqref="E42"/>
    </sheetView>
  </sheetViews>
  <sheetFormatPr defaultRowHeight="14.4" x14ac:dyDescent="0.3"/>
  <cols>
    <col min="1" max="1" width="14.44140625" bestFit="1" customWidth="1"/>
    <col min="2" max="2" width="17.44140625" bestFit="1" customWidth="1"/>
    <col min="3" max="3" width="9" bestFit="1" customWidth="1"/>
    <col min="4" max="4" width="11.5546875" bestFit="1" customWidth="1"/>
    <col min="5" max="5" width="14.33203125" bestFit="1" customWidth="1"/>
    <col min="6" max="6" width="18.6640625" bestFit="1" customWidth="1"/>
    <col min="7" max="7" width="18.21875" bestFit="1" customWidth="1"/>
    <col min="8" max="8" width="20" bestFit="1" customWidth="1"/>
    <col min="9" max="9" width="25.21875" bestFit="1" customWidth="1"/>
    <col min="10" max="10" width="21.88671875" bestFit="1" customWidth="1"/>
    <col min="11" max="11" width="26.6640625" bestFit="1" customWidth="1"/>
    <col min="12" max="12" width="14.5546875" bestFit="1" customWidth="1"/>
    <col min="13" max="13" width="12.33203125" bestFit="1" customWidth="1"/>
  </cols>
  <sheetData>
    <row r="1" spans="1:13" x14ac:dyDescent="0.3">
      <c r="A1" s="17" t="s">
        <v>323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3522</v>
      </c>
      <c r="B4" t="s">
        <v>305</v>
      </c>
      <c r="C4" t="s">
        <v>22</v>
      </c>
      <c r="D4" s="16">
        <v>45639</v>
      </c>
      <c r="E4" t="s">
        <v>19</v>
      </c>
      <c r="F4">
        <v>5</v>
      </c>
      <c r="G4" t="s">
        <v>27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 x14ac:dyDescent="0.3">
      <c r="A5">
        <v>3510</v>
      </c>
      <c r="B5" t="s">
        <v>296</v>
      </c>
      <c r="C5" t="s">
        <v>22</v>
      </c>
      <c r="D5" s="16">
        <v>45627</v>
      </c>
      <c r="E5" t="s">
        <v>19</v>
      </c>
      <c r="F5">
        <v>5</v>
      </c>
      <c r="G5" t="s">
        <v>27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 x14ac:dyDescent="0.3">
      <c r="A6">
        <v>3498</v>
      </c>
      <c r="B6" t="s">
        <v>285</v>
      </c>
      <c r="C6" t="s">
        <v>22</v>
      </c>
      <c r="D6" s="16">
        <v>45615</v>
      </c>
      <c r="E6" t="s">
        <v>19</v>
      </c>
      <c r="F6">
        <v>5</v>
      </c>
      <c r="G6" t="s">
        <v>27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 x14ac:dyDescent="0.3">
      <c r="A7">
        <v>3489</v>
      </c>
      <c r="B7" t="s">
        <v>276</v>
      </c>
      <c r="C7" t="s">
        <v>22</v>
      </c>
      <c r="D7" s="16">
        <v>45606</v>
      </c>
      <c r="E7" t="s">
        <v>23</v>
      </c>
      <c r="F7">
        <v>5</v>
      </c>
      <c r="G7" t="s">
        <v>27</v>
      </c>
      <c r="H7" t="s">
        <v>23</v>
      </c>
      <c r="I7" t="s">
        <v>311</v>
      </c>
      <c r="J7" t="s">
        <v>23</v>
      </c>
      <c r="K7">
        <v>0</v>
      </c>
      <c r="L7">
        <v>1</v>
      </c>
      <c r="M7">
        <v>4</v>
      </c>
    </row>
    <row r="8" spans="1:13" x14ac:dyDescent="0.3">
      <c r="A8">
        <v>3244</v>
      </c>
      <c r="B8" t="s">
        <v>42</v>
      </c>
      <c r="C8" t="s">
        <v>22</v>
      </c>
      <c r="D8" s="16">
        <v>45361</v>
      </c>
      <c r="E8" t="s">
        <v>19</v>
      </c>
      <c r="F8">
        <v>5</v>
      </c>
      <c r="G8" t="s">
        <v>27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 x14ac:dyDescent="0.3">
      <c r="A9">
        <v>3484</v>
      </c>
      <c r="B9" t="s">
        <v>271</v>
      </c>
      <c r="C9" t="s">
        <v>22</v>
      </c>
      <c r="D9" s="16">
        <v>45601</v>
      </c>
      <c r="E9" t="s">
        <v>19</v>
      </c>
      <c r="F9">
        <v>5</v>
      </c>
      <c r="G9" t="s">
        <v>27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 x14ac:dyDescent="0.3">
      <c r="A10">
        <v>3472</v>
      </c>
      <c r="B10" t="s">
        <v>260</v>
      </c>
      <c r="C10" t="s">
        <v>22</v>
      </c>
      <c r="D10" s="16">
        <v>45589</v>
      </c>
      <c r="E10" t="s">
        <v>19</v>
      </c>
      <c r="F10">
        <v>5</v>
      </c>
      <c r="G10" t="s">
        <v>27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 x14ac:dyDescent="0.3">
      <c r="A11">
        <v>3460</v>
      </c>
      <c r="B11" t="s">
        <v>156</v>
      </c>
      <c r="C11" t="s">
        <v>22</v>
      </c>
      <c r="D11" s="16">
        <v>45577</v>
      </c>
      <c r="E11" t="s">
        <v>19</v>
      </c>
      <c r="F11">
        <v>5</v>
      </c>
      <c r="G11" t="s">
        <v>27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 x14ac:dyDescent="0.3">
      <c r="A12">
        <v>3256</v>
      </c>
      <c r="B12" t="s">
        <v>54</v>
      </c>
      <c r="C12" t="s">
        <v>22</v>
      </c>
      <c r="D12" s="16">
        <v>45373</v>
      </c>
      <c r="E12" t="s">
        <v>19</v>
      </c>
      <c r="F12">
        <v>5</v>
      </c>
      <c r="G12" t="s">
        <v>27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 x14ac:dyDescent="0.3">
      <c r="A13">
        <v>3448</v>
      </c>
      <c r="B13" t="s">
        <v>239</v>
      </c>
      <c r="C13" t="s">
        <v>22</v>
      </c>
      <c r="D13" s="16">
        <v>45565</v>
      </c>
      <c r="E13" t="s">
        <v>19</v>
      </c>
      <c r="F13">
        <v>5</v>
      </c>
      <c r="G13" t="s">
        <v>27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 x14ac:dyDescent="0.3">
      <c r="A14">
        <v>3439</v>
      </c>
      <c r="B14" t="s">
        <v>231</v>
      </c>
      <c r="C14" t="s">
        <v>22</v>
      </c>
      <c r="D14" s="16">
        <v>45556</v>
      </c>
      <c r="E14" t="s">
        <v>23</v>
      </c>
      <c r="F14">
        <v>5</v>
      </c>
      <c r="G14" t="s">
        <v>27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3">
      <c r="A15">
        <v>3430</v>
      </c>
      <c r="B15" t="s">
        <v>222</v>
      </c>
      <c r="C15" t="s">
        <v>22</v>
      </c>
      <c r="D15" s="16">
        <v>45547</v>
      </c>
      <c r="E15" t="s">
        <v>19</v>
      </c>
      <c r="F15">
        <v>5</v>
      </c>
      <c r="G15" t="s">
        <v>27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 x14ac:dyDescent="0.3">
      <c r="A16">
        <v>3269</v>
      </c>
      <c r="B16" t="s">
        <v>67</v>
      </c>
      <c r="C16" t="s">
        <v>22</v>
      </c>
      <c r="D16" s="16">
        <v>45386</v>
      </c>
      <c r="E16" t="s">
        <v>23</v>
      </c>
      <c r="F16">
        <v>5</v>
      </c>
      <c r="G16" t="s">
        <v>27</v>
      </c>
      <c r="H16" t="s">
        <v>23</v>
      </c>
      <c r="I16" t="s">
        <v>311</v>
      </c>
      <c r="J16" t="s">
        <v>23</v>
      </c>
      <c r="K16">
        <v>0</v>
      </c>
      <c r="L16">
        <v>1</v>
      </c>
      <c r="M16">
        <v>4</v>
      </c>
    </row>
    <row r="17" spans="1:13" x14ac:dyDescent="0.3">
      <c r="A17">
        <v>3418</v>
      </c>
      <c r="B17" t="s">
        <v>213</v>
      </c>
      <c r="C17" t="s">
        <v>22</v>
      </c>
      <c r="D17" s="16">
        <v>45535</v>
      </c>
      <c r="E17" t="s">
        <v>19</v>
      </c>
      <c r="F17">
        <v>5</v>
      </c>
      <c r="G17" t="s">
        <v>27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 x14ac:dyDescent="0.3">
      <c r="A18">
        <v>3409</v>
      </c>
      <c r="B18" t="s">
        <v>204</v>
      </c>
      <c r="C18" t="s">
        <v>22</v>
      </c>
      <c r="D18" s="16">
        <v>45526</v>
      </c>
      <c r="E18" t="s">
        <v>23</v>
      </c>
      <c r="F18">
        <v>5</v>
      </c>
      <c r="G18" t="s">
        <v>27</v>
      </c>
      <c r="H18" t="s">
        <v>23</v>
      </c>
      <c r="I18" t="s">
        <v>311</v>
      </c>
      <c r="J18" t="s">
        <v>23</v>
      </c>
      <c r="K18">
        <v>0</v>
      </c>
      <c r="L18">
        <v>1</v>
      </c>
      <c r="M18">
        <v>4</v>
      </c>
    </row>
    <row r="19" spans="1:13" x14ac:dyDescent="0.3">
      <c r="A19">
        <v>3278</v>
      </c>
      <c r="B19" t="s">
        <v>76</v>
      </c>
      <c r="C19" t="s">
        <v>22</v>
      </c>
      <c r="D19" s="16">
        <v>45395</v>
      </c>
      <c r="E19" t="s">
        <v>19</v>
      </c>
      <c r="F19">
        <v>5</v>
      </c>
      <c r="G19" t="s">
        <v>27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 x14ac:dyDescent="0.3">
      <c r="A20">
        <v>3402</v>
      </c>
      <c r="B20" t="s">
        <v>197</v>
      </c>
      <c r="C20" t="s">
        <v>22</v>
      </c>
      <c r="D20" s="16">
        <v>45519</v>
      </c>
      <c r="E20" t="s">
        <v>19</v>
      </c>
      <c r="F20">
        <v>5</v>
      </c>
      <c r="G20" t="s">
        <v>27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 x14ac:dyDescent="0.3">
      <c r="A21">
        <v>3390</v>
      </c>
      <c r="B21" t="s">
        <v>187</v>
      </c>
      <c r="C21" t="s">
        <v>22</v>
      </c>
      <c r="D21" s="16">
        <v>45507</v>
      </c>
      <c r="E21" t="s">
        <v>19</v>
      </c>
      <c r="F21">
        <v>5</v>
      </c>
      <c r="G21" t="s">
        <v>27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 x14ac:dyDescent="0.3">
      <c r="A22">
        <v>3378</v>
      </c>
      <c r="B22" t="s">
        <v>175</v>
      </c>
      <c r="C22" t="s">
        <v>22</v>
      </c>
      <c r="D22" s="16">
        <v>45495</v>
      </c>
      <c r="E22" t="s">
        <v>19</v>
      </c>
      <c r="F22">
        <v>5</v>
      </c>
      <c r="G22" t="s">
        <v>27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 x14ac:dyDescent="0.3">
      <c r="A23">
        <v>3290</v>
      </c>
      <c r="B23" t="s">
        <v>88</v>
      </c>
      <c r="C23" t="s">
        <v>22</v>
      </c>
      <c r="D23" s="16">
        <v>45407</v>
      </c>
      <c r="E23" t="s">
        <v>19</v>
      </c>
      <c r="F23">
        <v>5</v>
      </c>
      <c r="G23" t="s">
        <v>27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 x14ac:dyDescent="0.3">
      <c r="A24">
        <v>3369</v>
      </c>
      <c r="B24" t="s">
        <v>166</v>
      </c>
      <c r="C24" t="s">
        <v>22</v>
      </c>
      <c r="D24" s="16">
        <v>45486</v>
      </c>
      <c r="E24" t="s">
        <v>23</v>
      </c>
      <c r="F24">
        <v>5</v>
      </c>
      <c r="G24" t="s">
        <v>27</v>
      </c>
      <c r="H24" t="s">
        <v>23</v>
      </c>
      <c r="I24" t="s">
        <v>311</v>
      </c>
      <c r="J24" t="s">
        <v>23</v>
      </c>
      <c r="K24">
        <v>0</v>
      </c>
      <c r="L24">
        <v>1</v>
      </c>
      <c r="M24">
        <v>4</v>
      </c>
    </row>
    <row r="25" spans="1:13" x14ac:dyDescent="0.3">
      <c r="A25">
        <v>3360</v>
      </c>
      <c r="B25" t="s">
        <v>157</v>
      </c>
      <c r="C25" t="s">
        <v>22</v>
      </c>
      <c r="D25" s="16">
        <v>45477</v>
      </c>
      <c r="E25" t="s">
        <v>19</v>
      </c>
      <c r="F25">
        <v>5</v>
      </c>
      <c r="G25" t="s">
        <v>27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 x14ac:dyDescent="0.3">
      <c r="A26">
        <v>3299</v>
      </c>
      <c r="B26" t="s">
        <v>97</v>
      </c>
      <c r="C26" t="s">
        <v>22</v>
      </c>
      <c r="D26" s="16">
        <v>45416</v>
      </c>
      <c r="E26" t="s">
        <v>19</v>
      </c>
      <c r="F26">
        <v>5</v>
      </c>
      <c r="G26" t="s">
        <v>27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 x14ac:dyDescent="0.3">
      <c r="A27">
        <v>3348</v>
      </c>
      <c r="B27" t="s">
        <v>146</v>
      </c>
      <c r="C27" t="s">
        <v>22</v>
      </c>
      <c r="D27" s="16">
        <v>45465</v>
      </c>
      <c r="E27" t="s">
        <v>19</v>
      </c>
      <c r="F27">
        <v>5</v>
      </c>
      <c r="G27" t="s">
        <v>27</v>
      </c>
      <c r="H27" t="s">
        <v>23</v>
      </c>
      <c r="I27" t="s">
        <v>311</v>
      </c>
      <c r="J27" t="s">
        <v>23</v>
      </c>
      <c r="K27">
        <v>0</v>
      </c>
      <c r="L27">
        <v>0</v>
      </c>
      <c r="M27">
        <v>5</v>
      </c>
    </row>
    <row r="28" spans="1:13" x14ac:dyDescent="0.3">
      <c r="A28">
        <v>3339</v>
      </c>
      <c r="B28" t="s">
        <v>137</v>
      </c>
      <c r="C28" t="s">
        <v>22</v>
      </c>
      <c r="D28" s="16">
        <v>45456</v>
      </c>
      <c r="E28" t="s">
        <v>23</v>
      </c>
      <c r="F28">
        <v>5</v>
      </c>
      <c r="G28" t="s">
        <v>27</v>
      </c>
      <c r="H28" t="s">
        <v>23</v>
      </c>
      <c r="I28" t="s">
        <v>311</v>
      </c>
      <c r="J28" t="s">
        <v>23</v>
      </c>
      <c r="K28">
        <v>0</v>
      </c>
      <c r="L28">
        <v>1</v>
      </c>
      <c r="M28">
        <v>4</v>
      </c>
    </row>
    <row r="29" spans="1:13" x14ac:dyDescent="0.3">
      <c r="A29">
        <v>3308</v>
      </c>
      <c r="B29" t="s">
        <v>106</v>
      </c>
      <c r="C29" t="s">
        <v>22</v>
      </c>
      <c r="D29" s="16">
        <v>45425</v>
      </c>
      <c r="E29" t="s">
        <v>23</v>
      </c>
      <c r="F29">
        <v>5</v>
      </c>
      <c r="G29" t="s">
        <v>27</v>
      </c>
      <c r="H29" t="s">
        <v>23</v>
      </c>
      <c r="I29" t="s">
        <v>311</v>
      </c>
      <c r="J29" t="s">
        <v>23</v>
      </c>
      <c r="K29">
        <v>0</v>
      </c>
      <c r="L29">
        <v>0</v>
      </c>
      <c r="M29">
        <v>5</v>
      </c>
    </row>
    <row r="30" spans="1:13" x14ac:dyDescent="0.3">
      <c r="A30">
        <v>3329</v>
      </c>
      <c r="B30" t="s">
        <v>127</v>
      </c>
      <c r="C30" t="s">
        <v>22</v>
      </c>
      <c r="D30" s="16">
        <v>45446</v>
      </c>
      <c r="E30" t="s">
        <v>19</v>
      </c>
      <c r="F30">
        <v>5</v>
      </c>
      <c r="G30" t="s">
        <v>27</v>
      </c>
      <c r="H30" t="s">
        <v>23</v>
      </c>
      <c r="I30" t="s">
        <v>311</v>
      </c>
      <c r="J30" t="s">
        <v>23</v>
      </c>
      <c r="K30">
        <v>0</v>
      </c>
      <c r="L30">
        <v>1</v>
      </c>
      <c r="M30">
        <v>4</v>
      </c>
    </row>
    <row r="31" spans="1:13" x14ac:dyDescent="0.3">
      <c r="A31">
        <v>3320</v>
      </c>
      <c r="B31" t="s">
        <v>118</v>
      </c>
      <c r="C31" t="s">
        <v>22</v>
      </c>
      <c r="D31" s="16">
        <v>45437</v>
      </c>
      <c r="E31" t="s">
        <v>23</v>
      </c>
      <c r="F31">
        <v>5</v>
      </c>
      <c r="G31" t="s">
        <v>27</v>
      </c>
      <c r="H31" t="s">
        <v>23</v>
      </c>
      <c r="I31" t="s">
        <v>311</v>
      </c>
      <c r="J31" t="s">
        <v>23</v>
      </c>
      <c r="K31">
        <v>0</v>
      </c>
      <c r="L31">
        <v>0</v>
      </c>
      <c r="M31">
        <v>5</v>
      </c>
    </row>
    <row r="32" spans="1:13" x14ac:dyDescent="0.3">
      <c r="A32">
        <v>3518</v>
      </c>
      <c r="B32" t="s">
        <v>301</v>
      </c>
      <c r="C32" t="s">
        <v>26</v>
      </c>
      <c r="D32" s="16">
        <v>45635</v>
      </c>
      <c r="E32" t="s">
        <v>19</v>
      </c>
      <c r="F32">
        <v>10</v>
      </c>
      <c r="G32" t="s">
        <v>27</v>
      </c>
      <c r="H32" t="s">
        <v>23</v>
      </c>
      <c r="I32" t="s">
        <v>311</v>
      </c>
      <c r="J32" t="s">
        <v>19</v>
      </c>
      <c r="K32">
        <v>20</v>
      </c>
      <c r="L32">
        <v>12</v>
      </c>
      <c r="M32">
        <v>18</v>
      </c>
    </row>
    <row r="33" spans="1:13" x14ac:dyDescent="0.3">
      <c r="A33">
        <v>3233</v>
      </c>
      <c r="B33" t="s">
        <v>25</v>
      </c>
      <c r="C33" t="s">
        <v>26</v>
      </c>
      <c r="D33" s="16">
        <v>45332</v>
      </c>
      <c r="E33" t="s">
        <v>19</v>
      </c>
      <c r="F33">
        <v>10</v>
      </c>
      <c r="G33" t="s">
        <v>27</v>
      </c>
      <c r="H33" t="s">
        <v>23</v>
      </c>
      <c r="I33" t="s">
        <v>311</v>
      </c>
      <c r="J33" t="s">
        <v>19</v>
      </c>
      <c r="K33">
        <v>20</v>
      </c>
      <c r="L33">
        <v>10</v>
      </c>
      <c r="M33">
        <v>20</v>
      </c>
    </row>
    <row r="34" spans="1:13" x14ac:dyDescent="0.3">
      <c r="A34">
        <v>3506</v>
      </c>
      <c r="B34" t="s">
        <v>292</v>
      </c>
      <c r="C34" t="s">
        <v>26</v>
      </c>
      <c r="D34" s="16">
        <v>45623</v>
      </c>
      <c r="E34" t="s">
        <v>19</v>
      </c>
      <c r="F34">
        <v>10</v>
      </c>
      <c r="G34" t="s">
        <v>27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 x14ac:dyDescent="0.3">
      <c r="A35">
        <v>3240</v>
      </c>
      <c r="B35" t="s">
        <v>38</v>
      </c>
      <c r="C35" t="s">
        <v>26</v>
      </c>
      <c r="D35" s="16">
        <v>45357</v>
      </c>
      <c r="E35" t="s">
        <v>19</v>
      </c>
      <c r="F35">
        <v>10</v>
      </c>
      <c r="G35" t="s">
        <v>27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 x14ac:dyDescent="0.3">
      <c r="A36">
        <v>3494</v>
      </c>
      <c r="B36" t="s">
        <v>281</v>
      </c>
      <c r="C36" t="s">
        <v>26</v>
      </c>
      <c r="D36" s="16">
        <v>45611</v>
      </c>
      <c r="E36" t="s">
        <v>19</v>
      </c>
      <c r="F36">
        <v>10</v>
      </c>
      <c r="G36" t="s">
        <v>27</v>
      </c>
      <c r="H36" t="s">
        <v>23</v>
      </c>
      <c r="I36" t="s">
        <v>311</v>
      </c>
      <c r="J36" t="s">
        <v>19</v>
      </c>
      <c r="K36">
        <v>20</v>
      </c>
      <c r="L36">
        <v>12</v>
      </c>
      <c r="M36">
        <v>18</v>
      </c>
    </row>
    <row r="37" spans="1:13" x14ac:dyDescent="0.3">
      <c r="A37">
        <v>3480</v>
      </c>
      <c r="B37" t="s">
        <v>267</v>
      </c>
      <c r="C37" t="s">
        <v>26</v>
      </c>
      <c r="D37" s="16">
        <v>45597</v>
      </c>
      <c r="E37" t="s">
        <v>19</v>
      </c>
      <c r="F37">
        <v>10</v>
      </c>
      <c r="G37" t="s">
        <v>27</v>
      </c>
      <c r="H37" t="s">
        <v>23</v>
      </c>
      <c r="I37" t="s">
        <v>311</v>
      </c>
      <c r="J37" t="s">
        <v>19</v>
      </c>
      <c r="K37">
        <v>20</v>
      </c>
      <c r="L37">
        <v>15</v>
      </c>
      <c r="M37">
        <v>15</v>
      </c>
    </row>
    <row r="38" spans="1:13" x14ac:dyDescent="0.3">
      <c r="A38">
        <v>3468</v>
      </c>
      <c r="B38" t="s">
        <v>256</v>
      </c>
      <c r="C38" t="s">
        <v>26</v>
      </c>
      <c r="D38" s="16">
        <v>45585</v>
      </c>
      <c r="E38" t="s">
        <v>19</v>
      </c>
      <c r="F38">
        <v>10</v>
      </c>
      <c r="G38" t="s">
        <v>27</v>
      </c>
      <c r="H38" t="s">
        <v>23</v>
      </c>
      <c r="I38" t="s">
        <v>311</v>
      </c>
      <c r="J38" t="s">
        <v>19</v>
      </c>
      <c r="K38">
        <v>20</v>
      </c>
      <c r="L38">
        <v>12</v>
      </c>
      <c r="M38">
        <v>18</v>
      </c>
    </row>
    <row r="39" spans="1:13" x14ac:dyDescent="0.3">
      <c r="A39">
        <v>3252</v>
      </c>
      <c r="B39" t="s">
        <v>50</v>
      </c>
      <c r="C39" t="s">
        <v>26</v>
      </c>
      <c r="D39" s="16">
        <v>45369</v>
      </c>
      <c r="E39" t="s">
        <v>19</v>
      </c>
      <c r="F39">
        <v>10</v>
      </c>
      <c r="G39" t="s">
        <v>27</v>
      </c>
      <c r="H39" t="s">
        <v>23</v>
      </c>
      <c r="I39" t="s">
        <v>311</v>
      </c>
      <c r="J39" t="s">
        <v>19</v>
      </c>
      <c r="K39">
        <v>20</v>
      </c>
      <c r="L39">
        <v>15</v>
      </c>
      <c r="M39">
        <v>15</v>
      </c>
    </row>
    <row r="40" spans="1:13" x14ac:dyDescent="0.3">
      <c r="A40">
        <v>3456</v>
      </c>
      <c r="B40" t="s">
        <v>245</v>
      </c>
      <c r="C40" t="s">
        <v>26</v>
      </c>
      <c r="D40" s="16">
        <v>45573</v>
      </c>
      <c r="E40" t="s">
        <v>19</v>
      </c>
      <c r="F40">
        <v>10</v>
      </c>
      <c r="G40" t="s">
        <v>27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 x14ac:dyDescent="0.3">
      <c r="A41">
        <v>3444</v>
      </c>
      <c r="B41" t="s">
        <v>236</v>
      </c>
      <c r="C41" t="s">
        <v>26</v>
      </c>
      <c r="D41" s="16">
        <v>45561</v>
      </c>
      <c r="E41" t="s">
        <v>19</v>
      </c>
      <c r="F41">
        <v>10</v>
      </c>
      <c r="G41" t="s">
        <v>27</v>
      </c>
      <c r="H41" t="s">
        <v>23</v>
      </c>
      <c r="I41" t="s">
        <v>311</v>
      </c>
      <c r="J41" t="s">
        <v>19</v>
      </c>
      <c r="K41">
        <v>20</v>
      </c>
      <c r="L41">
        <v>12</v>
      </c>
      <c r="M41">
        <v>18</v>
      </c>
    </row>
    <row r="42" spans="1:13" x14ac:dyDescent="0.3">
      <c r="A42">
        <v>3264</v>
      </c>
      <c r="B42" t="s">
        <v>62</v>
      </c>
      <c r="C42" t="s">
        <v>26</v>
      </c>
      <c r="D42" s="16">
        <v>45381</v>
      </c>
      <c r="E42" t="s">
        <v>19</v>
      </c>
      <c r="F42">
        <v>10</v>
      </c>
      <c r="G42" t="s">
        <v>27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 x14ac:dyDescent="0.3">
      <c r="A43">
        <v>3426</v>
      </c>
      <c r="B43" t="s">
        <v>196</v>
      </c>
      <c r="C43" t="s">
        <v>26</v>
      </c>
      <c r="D43" s="16">
        <v>45543</v>
      </c>
      <c r="E43" t="s">
        <v>19</v>
      </c>
      <c r="F43">
        <v>10</v>
      </c>
      <c r="G43" t="s">
        <v>27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 x14ac:dyDescent="0.3">
      <c r="A44">
        <v>3414</v>
      </c>
      <c r="B44" t="s">
        <v>209</v>
      </c>
      <c r="C44" t="s">
        <v>26</v>
      </c>
      <c r="D44" s="16">
        <v>45531</v>
      </c>
      <c r="E44" t="s">
        <v>19</v>
      </c>
      <c r="F44">
        <v>10</v>
      </c>
      <c r="G44" t="s">
        <v>27</v>
      </c>
      <c r="H44" t="s">
        <v>23</v>
      </c>
      <c r="I44" t="s">
        <v>311</v>
      </c>
      <c r="J44" t="s">
        <v>19</v>
      </c>
      <c r="K44">
        <v>20</v>
      </c>
      <c r="L44">
        <v>12</v>
      </c>
      <c r="M44">
        <v>18</v>
      </c>
    </row>
    <row r="45" spans="1:13" x14ac:dyDescent="0.3">
      <c r="A45">
        <v>3274</v>
      </c>
      <c r="B45" t="s">
        <v>72</v>
      </c>
      <c r="C45" t="s">
        <v>26</v>
      </c>
      <c r="D45" s="16">
        <v>45391</v>
      </c>
      <c r="E45" t="s">
        <v>19</v>
      </c>
      <c r="F45">
        <v>10</v>
      </c>
      <c r="G45" t="s">
        <v>27</v>
      </c>
      <c r="H45" t="s">
        <v>23</v>
      </c>
      <c r="I45" t="s">
        <v>311</v>
      </c>
      <c r="J45" t="s">
        <v>19</v>
      </c>
      <c r="K45">
        <v>20</v>
      </c>
      <c r="L45">
        <v>12</v>
      </c>
      <c r="M45">
        <v>18</v>
      </c>
    </row>
    <row r="46" spans="1:13" x14ac:dyDescent="0.3">
      <c r="A46">
        <v>3398</v>
      </c>
      <c r="B46" t="s">
        <v>193</v>
      </c>
      <c r="C46" t="s">
        <v>26</v>
      </c>
      <c r="D46" s="16">
        <v>45515</v>
      </c>
      <c r="E46" t="s">
        <v>19</v>
      </c>
      <c r="F46">
        <v>10</v>
      </c>
      <c r="G46" t="s">
        <v>27</v>
      </c>
      <c r="H46" t="s">
        <v>23</v>
      </c>
      <c r="I46" t="s">
        <v>311</v>
      </c>
      <c r="J46" t="s">
        <v>19</v>
      </c>
      <c r="K46">
        <v>20</v>
      </c>
      <c r="L46">
        <v>15</v>
      </c>
      <c r="M46">
        <v>15</v>
      </c>
    </row>
    <row r="47" spans="1:13" x14ac:dyDescent="0.3">
      <c r="A47">
        <v>3386</v>
      </c>
      <c r="B47" t="s">
        <v>183</v>
      </c>
      <c r="C47" t="s">
        <v>26</v>
      </c>
      <c r="D47" s="16">
        <v>45503</v>
      </c>
      <c r="E47" t="s">
        <v>19</v>
      </c>
      <c r="F47">
        <v>10</v>
      </c>
      <c r="G47" t="s">
        <v>27</v>
      </c>
      <c r="H47" t="s">
        <v>23</v>
      </c>
      <c r="I47" t="s">
        <v>311</v>
      </c>
      <c r="J47" t="s">
        <v>19</v>
      </c>
      <c r="K47">
        <v>20</v>
      </c>
      <c r="L47">
        <v>15</v>
      </c>
      <c r="M47">
        <v>15</v>
      </c>
    </row>
    <row r="48" spans="1:13" x14ac:dyDescent="0.3">
      <c r="A48">
        <v>3286</v>
      </c>
      <c r="B48" t="s">
        <v>84</v>
      </c>
      <c r="C48" t="s">
        <v>26</v>
      </c>
      <c r="D48" s="16">
        <v>45403</v>
      </c>
      <c r="E48" t="s">
        <v>19</v>
      </c>
      <c r="F48">
        <v>10</v>
      </c>
      <c r="G48" t="s">
        <v>27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 x14ac:dyDescent="0.3">
      <c r="A49">
        <v>3374</v>
      </c>
      <c r="B49" t="s">
        <v>171</v>
      </c>
      <c r="C49" t="s">
        <v>26</v>
      </c>
      <c r="D49" s="16">
        <v>45491</v>
      </c>
      <c r="E49" t="s">
        <v>19</v>
      </c>
      <c r="F49">
        <v>10</v>
      </c>
      <c r="G49" t="s">
        <v>27</v>
      </c>
      <c r="H49" t="s">
        <v>23</v>
      </c>
      <c r="I49" t="s">
        <v>311</v>
      </c>
      <c r="J49" t="s">
        <v>19</v>
      </c>
      <c r="K49">
        <v>20</v>
      </c>
      <c r="L49">
        <v>12</v>
      </c>
      <c r="M49">
        <v>18</v>
      </c>
    </row>
    <row r="50" spans="1:13" x14ac:dyDescent="0.3">
      <c r="A50">
        <v>3356</v>
      </c>
      <c r="B50" t="s">
        <v>153</v>
      </c>
      <c r="C50" t="s">
        <v>26</v>
      </c>
      <c r="D50" s="16">
        <v>45473</v>
      </c>
      <c r="E50" t="s">
        <v>19</v>
      </c>
      <c r="F50">
        <v>10</v>
      </c>
      <c r="G50" t="s">
        <v>27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 x14ac:dyDescent="0.3">
      <c r="A51">
        <v>3344</v>
      </c>
      <c r="B51" t="s">
        <v>142</v>
      </c>
      <c r="C51" t="s">
        <v>26</v>
      </c>
      <c r="D51" s="16">
        <v>45461</v>
      </c>
      <c r="E51" t="s">
        <v>19</v>
      </c>
      <c r="F51">
        <v>10</v>
      </c>
      <c r="G51" t="s">
        <v>27</v>
      </c>
      <c r="H51" t="s">
        <v>23</v>
      </c>
      <c r="I51" t="s">
        <v>311</v>
      </c>
      <c r="J51" t="s">
        <v>19</v>
      </c>
      <c r="K51">
        <v>20</v>
      </c>
      <c r="L51">
        <v>12</v>
      </c>
      <c r="M51">
        <v>18</v>
      </c>
    </row>
    <row r="52" spans="1:13" x14ac:dyDescent="0.3">
      <c r="A52">
        <v>3304</v>
      </c>
      <c r="B52" t="s">
        <v>102</v>
      </c>
      <c r="C52" t="s">
        <v>26</v>
      </c>
      <c r="D52" s="16">
        <v>45421</v>
      </c>
      <c r="E52" t="s">
        <v>23</v>
      </c>
      <c r="F52">
        <v>10</v>
      </c>
      <c r="G52" t="s">
        <v>27</v>
      </c>
      <c r="H52" t="s">
        <v>23</v>
      </c>
      <c r="I52" t="s">
        <v>311</v>
      </c>
      <c r="J52" t="s">
        <v>19</v>
      </c>
      <c r="K52">
        <v>20</v>
      </c>
      <c r="L52">
        <v>12</v>
      </c>
      <c r="M52">
        <v>18</v>
      </c>
    </row>
    <row r="53" spans="1:13" x14ac:dyDescent="0.3">
      <c r="A53">
        <v>3334</v>
      </c>
      <c r="B53" t="s">
        <v>132</v>
      </c>
      <c r="C53" t="s">
        <v>26</v>
      </c>
      <c r="D53" s="16">
        <v>45451</v>
      </c>
      <c r="E53" t="s">
        <v>23</v>
      </c>
      <c r="F53">
        <v>10</v>
      </c>
      <c r="G53" t="s">
        <v>27</v>
      </c>
      <c r="H53" t="s">
        <v>23</v>
      </c>
      <c r="I53" t="s">
        <v>311</v>
      </c>
      <c r="J53" t="s">
        <v>19</v>
      </c>
      <c r="K53">
        <v>20</v>
      </c>
      <c r="L53">
        <v>12</v>
      </c>
      <c r="M53">
        <v>18</v>
      </c>
    </row>
    <row r="54" spans="1:13" x14ac:dyDescent="0.3">
      <c r="A54">
        <v>3325</v>
      </c>
      <c r="B54" t="s">
        <v>123</v>
      </c>
      <c r="C54" t="s">
        <v>26</v>
      </c>
      <c r="D54" s="16">
        <v>45442</v>
      </c>
      <c r="E54" t="s">
        <v>19</v>
      </c>
      <c r="F54">
        <v>10</v>
      </c>
      <c r="G54" t="s">
        <v>27</v>
      </c>
      <c r="H54" t="s">
        <v>23</v>
      </c>
      <c r="I54" t="s">
        <v>311</v>
      </c>
      <c r="J54" t="s">
        <v>19</v>
      </c>
      <c r="K54">
        <v>20</v>
      </c>
      <c r="L54">
        <v>15</v>
      </c>
      <c r="M54">
        <v>15</v>
      </c>
    </row>
    <row r="55" spans="1:13" x14ac:dyDescent="0.3">
      <c r="A55">
        <v>3316</v>
      </c>
      <c r="B55" t="s">
        <v>114</v>
      </c>
      <c r="C55" t="s">
        <v>26</v>
      </c>
      <c r="D55" s="16">
        <v>45433</v>
      </c>
      <c r="E55" t="s">
        <v>23</v>
      </c>
      <c r="F55">
        <v>10</v>
      </c>
      <c r="G55" t="s">
        <v>27</v>
      </c>
      <c r="H55" t="s">
        <v>23</v>
      </c>
      <c r="I55" t="s">
        <v>311</v>
      </c>
      <c r="J55" t="s">
        <v>19</v>
      </c>
      <c r="K55">
        <v>20</v>
      </c>
      <c r="L55">
        <v>15</v>
      </c>
      <c r="M55">
        <v>15</v>
      </c>
    </row>
    <row r="56" spans="1:13" x14ac:dyDescent="0.3">
      <c r="A56">
        <v>3514</v>
      </c>
      <c r="B56" t="s">
        <v>300</v>
      </c>
      <c r="C56" t="s">
        <v>18</v>
      </c>
      <c r="D56" s="16">
        <v>45631</v>
      </c>
      <c r="E56" t="s">
        <v>19</v>
      </c>
      <c r="F56">
        <v>15</v>
      </c>
      <c r="G56" t="s">
        <v>27</v>
      </c>
      <c r="H56" t="s">
        <v>19</v>
      </c>
      <c r="I56">
        <v>30</v>
      </c>
      <c r="J56" t="s">
        <v>19</v>
      </c>
      <c r="K56">
        <v>20</v>
      </c>
      <c r="L56">
        <v>7</v>
      </c>
      <c r="M56">
        <v>58</v>
      </c>
    </row>
    <row r="57" spans="1:13" x14ac:dyDescent="0.3">
      <c r="A57">
        <v>3237</v>
      </c>
      <c r="B57" t="s">
        <v>35</v>
      </c>
      <c r="C57" t="s">
        <v>18</v>
      </c>
      <c r="D57" s="16">
        <v>45354</v>
      </c>
      <c r="E57" t="s">
        <v>19</v>
      </c>
      <c r="F57">
        <v>15</v>
      </c>
      <c r="G57" t="s">
        <v>27</v>
      </c>
      <c r="H57" t="s">
        <v>19</v>
      </c>
      <c r="I57">
        <v>30</v>
      </c>
      <c r="J57" t="s">
        <v>19</v>
      </c>
      <c r="K57">
        <v>20</v>
      </c>
      <c r="L57">
        <v>10</v>
      </c>
      <c r="M57">
        <v>55</v>
      </c>
    </row>
    <row r="58" spans="1:13" x14ac:dyDescent="0.3">
      <c r="A58">
        <v>3502</v>
      </c>
      <c r="B58" t="s">
        <v>289</v>
      </c>
      <c r="C58" t="s">
        <v>18</v>
      </c>
      <c r="D58" s="16">
        <v>45619</v>
      </c>
      <c r="E58" t="s">
        <v>19</v>
      </c>
      <c r="F58">
        <v>15</v>
      </c>
      <c r="G58" t="s">
        <v>27</v>
      </c>
      <c r="H58" t="s">
        <v>19</v>
      </c>
      <c r="I58">
        <v>30</v>
      </c>
      <c r="J58" t="s">
        <v>19</v>
      </c>
      <c r="K58">
        <v>20</v>
      </c>
      <c r="L58">
        <v>7</v>
      </c>
      <c r="M58">
        <v>58</v>
      </c>
    </row>
    <row r="59" spans="1:13" x14ac:dyDescent="0.3">
      <c r="A59">
        <v>3493</v>
      </c>
      <c r="B59" t="s">
        <v>280</v>
      </c>
      <c r="C59" t="s">
        <v>18</v>
      </c>
      <c r="D59" s="16">
        <v>45610</v>
      </c>
      <c r="E59" t="s">
        <v>23</v>
      </c>
      <c r="F59">
        <v>15</v>
      </c>
      <c r="G59" t="s">
        <v>27</v>
      </c>
      <c r="H59" t="s">
        <v>19</v>
      </c>
      <c r="I59">
        <v>30</v>
      </c>
      <c r="J59" t="s">
        <v>19</v>
      </c>
      <c r="K59">
        <v>20</v>
      </c>
      <c r="L59">
        <v>20</v>
      </c>
      <c r="M59">
        <v>45</v>
      </c>
    </row>
    <row r="60" spans="1:13" x14ac:dyDescent="0.3">
      <c r="A60">
        <v>3487</v>
      </c>
      <c r="B60" t="s">
        <v>274</v>
      </c>
      <c r="C60" t="s">
        <v>18</v>
      </c>
      <c r="D60" s="16">
        <v>45604</v>
      </c>
      <c r="E60" t="s">
        <v>23</v>
      </c>
      <c r="F60">
        <v>15</v>
      </c>
      <c r="G60" t="s">
        <v>27</v>
      </c>
      <c r="H60" t="s">
        <v>19</v>
      </c>
      <c r="I60">
        <v>30</v>
      </c>
      <c r="J60" t="s">
        <v>19</v>
      </c>
      <c r="K60">
        <v>20</v>
      </c>
      <c r="L60">
        <v>7</v>
      </c>
      <c r="M60">
        <v>58</v>
      </c>
    </row>
    <row r="61" spans="1:13" x14ac:dyDescent="0.3">
      <c r="A61">
        <v>3248</v>
      </c>
      <c r="B61" t="s">
        <v>46</v>
      </c>
      <c r="C61" t="s">
        <v>18</v>
      </c>
      <c r="D61" s="16">
        <v>45365</v>
      </c>
      <c r="E61" t="s">
        <v>19</v>
      </c>
      <c r="F61">
        <v>15</v>
      </c>
      <c r="G61" t="s">
        <v>27</v>
      </c>
      <c r="H61" t="s">
        <v>19</v>
      </c>
      <c r="I61">
        <v>30</v>
      </c>
      <c r="J61" t="s">
        <v>19</v>
      </c>
      <c r="K61">
        <v>20</v>
      </c>
      <c r="L61">
        <v>7</v>
      </c>
      <c r="M61">
        <v>58</v>
      </c>
    </row>
    <row r="62" spans="1:13" x14ac:dyDescent="0.3">
      <c r="A62">
        <v>3476</v>
      </c>
      <c r="B62" t="s">
        <v>263</v>
      </c>
      <c r="C62" t="s">
        <v>18</v>
      </c>
      <c r="D62" s="16">
        <v>45593</v>
      </c>
      <c r="E62" t="s">
        <v>19</v>
      </c>
      <c r="F62">
        <v>15</v>
      </c>
      <c r="G62" t="s">
        <v>27</v>
      </c>
      <c r="H62" t="s">
        <v>19</v>
      </c>
      <c r="I62">
        <v>30</v>
      </c>
      <c r="J62" t="s">
        <v>19</v>
      </c>
      <c r="K62">
        <v>20</v>
      </c>
      <c r="L62">
        <v>7</v>
      </c>
      <c r="M62">
        <v>58</v>
      </c>
    </row>
    <row r="63" spans="1:13" x14ac:dyDescent="0.3">
      <c r="A63">
        <v>3464</v>
      </c>
      <c r="B63" t="s">
        <v>252</v>
      </c>
      <c r="C63" t="s">
        <v>18</v>
      </c>
      <c r="D63" s="16">
        <v>45581</v>
      </c>
      <c r="E63" t="s">
        <v>19</v>
      </c>
      <c r="F63">
        <v>15</v>
      </c>
      <c r="G63" t="s">
        <v>27</v>
      </c>
      <c r="H63" t="s">
        <v>19</v>
      </c>
      <c r="I63">
        <v>30</v>
      </c>
      <c r="J63" t="s">
        <v>19</v>
      </c>
      <c r="K63">
        <v>20</v>
      </c>
      <c r="L63">
        <v>7</v>
      </c>
      <c r="M63">
        <v>58</v>
      </c>
    </row>
    <row r="64" spans="1:13" x14ac:dyDescent="0.3">
      <c r="A64">
        <v>3452</v>
      </c>
      <c r="B64" t="s">
        <v>220</v>
      </c>
      <c r="C64" t="s">
        <v>18</v>
      </c>
      <c r="D64" s="16">
        <v>45569</v>
      </c>
      <c r="E64" t="s">
        <v>19</v>
      </c>
      <c r="F64">
        <v>15</v>
      </c>
      <c r="G64" t="s">
        <v>27</v>
      </c>
      <c r="H64" t="s">
        <v>19</v>
      </c>
      <c r="I64">
        <v>30</v>
      </c>
      <c r="J64" t="s">
        <v>19</v>
      </c>
      <c r="K64">
        <v>20</v>
      </c>
      <c r="L64">
        <v>7</v>
      </c>
      <c r="M64">
        <v>58</v>
      </c>
    </row>
    <row r="65" spans="1:13" x14ac:dyDescent="0.3">
      <c r="A65">
        <v>3260</v>
      </c>
      <c r="B65" t="s">
        <v>58</v>
      </c>
      <c r="C65" t="s">
        <v>18</v>
      </c>
      <c r="D65" s="16">
        <v>45377</v>
      </c>
      <c r="E65" t="s">
        <v>19</v>
      </c>
      <c r="F65">
        <v>15</v>
      </c>
      <c r="G65" t="s">
        <v>27</v>
      </c>
      <c r="H65" t="s">
        <v>19</v>
      </c>
      <c r="I65">
        <v>30</v>
      </c>
      <c r="J65" t="s">
        <v>19</v>
      </c>
      <c r="K65">
        <v>20</v>
      </c>
      <c r="L65">
        <v>7</v>
      </c>
      <c r="M65">
        <v>58</v>
      </c>
    </row>
    <row r="66" spans="1:13" x14ac:dyDescent="0.3">
      <c r="A66">
        <v>3443</v>
      </c>
      <c r="B66" t="s">
        <v>235</v>
      </c>
      <c r="C66" t="s">
        <v>18</v>
      </c>
      <c r="D66" s="16">
        <v>45560</v>
      </c>
      <c r="E66" t="s">
        <v>23</v>
      </c>
      <c r="F66">
        <v>15</v>
      </c>
      <c r="G66" t="s">
        <v>27</v>
      </c>
      <c r="H66" t="s">
        <v>19</v>
      </c>
      <c r="I66">
        <v>30</v>
      </c>
      <c r="J66" t="s">
        <v>19</v>
      </c>
      <c r="K66">
        <v>20</v>
      </c>
      <c r="L66">
        <v>20</v>
      </c>
      <c r="M66">
        <v>45</v>
      </c>
    </row>
    <row r="67" spans="1:13" x14ac:dyDescent="0.3">
      <c r="A67">
        <v>3437</v>
      </c>
      <c r="B67" t="s">
        <v>229</v>
      </c>
      <c r="C67" t="s">
        <v>18</v>
      </c>
      <c r="D67" s="16">
        <v>45554</v>
      </c>
      <c r="E67" t="s">
        <v>23</v>
      </c>
      <c r="F67">
        <v>15</v>
      </c>
      <c r="G67" t="s">
        <v>27</v>
      </c>
      <c r="H67" t="s">
        <v>19</v>
      </c>
      <c r="I67">
        <v>30</v>
      </c>
      <c r="J67" t="s">
        <v>19</v>
      </c>
      <c r="K67">
        <v>20</v>
      </c>
      <c r="L67">
        <v>7</v>
      </c>
      <c r="M67">
        <v>58</v>
      </c>
    </row>
    <row r="68" spans="1:13" x14ac:dyDescent="0.3">
      <c r="A68">
        <v>3434</v>
      </c>
      <c r="B68" t="s">
        <v>226</v>
      </c>
      <c r="C68" t="s">
        <v>18</v>
      </c>
      <c r="D68" s="16">
        <v>45551</v>
      </c>
      <c r="E68" t="s">
        <v>19</v>
      </c>
      <c r="F68">
        <v>15</v>
      </c>
      <c r="G68" t="s">
        <v>27</v>
      </c>
      <c r="H68" t="s">
        <v>19</v>
      </c>
      <c r="I68">
        <v>30</v>
      </c>
      <c r="J68" t="s">
        <v>19</v>
      </c>
      <c r="K68">
        <v>20</v>
      </c>
      <c r="L68">
        <v>7</v>
      </c>
      <c r="M68">
        <v>58</v>
      </c>
    </row>
    <row r="69" spans="1:13" x14ac:dyDescent="0.3">
      <c r="A69">
        <v>3267</v>
      </c>
      <c r="B69" t="s">
        <v>65</v>
      </c>
      <c r="C69" t="s">
        <v>18</v>
      </c>
      <c r="D69" s="16">
        <v>45384</v>
      </c>
      <c r="E69" t="s">
        <v>23</v>
      </c>
      <c r="F69">
        <v>15</v>
      </c>
      <c r="G69" t="s">
        <v>27</v>
      </c>
      <c r="H69" t="s">
        <v>19</v>
      </c>
      <c r="I69">
        <v>30</v>
      </c>
      <c r="J69" t="s">
        <v>19</v>
      </c>
      <c r="K69">
        <v>20</v>
      </c>
      <c r="L69">
        <v>7</v>
      </c>
      <c r="M69">
        <v>58</v>
      </c>
    </row>
    <row r="70" spans="1:13" x14ac:dyDescent="0.3">
      <c r="A70">
        <v>3422</v>
      </c>
      <c r="B70" t="s">
        <v>216</v>
      </c>
      <c r="C70" t="s">
        <v>18</v>
      </c>
      <c r="D70" s="16">
        <v>45539</v>
      </c>
      <c r="E70" t="s">
        <v>19</v>
      </c>
      <c r="F70">
        <v>15</v>
      </c>
      <c r="G70" t="s">
        <v>27</v>
      </c>
      <c r="H70" t="s">
        <v>19</v>
      </c>
      <c r="I70">
        <v>30</v>
      </c>
      <c r="J70" t="s">
        <v>19</v>
      </c>
      <c r="K70">
        <v>20</v>
      </c>
      <c r="L70">
        <v>7</v>
      </c>
      <c r="M70">
        <v>58</v>
      </c>
    </row>
    <row r="71" spans="1:13" x14ac:dyDescent="0.3">
      <c r="A71">
        <v>3273</v>
      </c>
      <c r="B71" t="s">
        <v>71</v>
      </c>
      <c r="C71" t="s">
        <v>18</v>
      </c>
      <c r="D71" s="16">
        <v>45390</v>
      </c>
      <c r="E71" t="s">
        <v>23</v>
      </c>
      <c r="F71">
        <v>15</v>
      </c>
      <c r="G71" t="s">
        <v>27</v>
      </c>
      <c r="H71" t="s">
        <v>19</v>
      </c>
      <c r="I71">
        <v>30</v>
      </c>
      <c r="J71" t="s">
        <v>19</v>
      </c>
      <c r="K71">
        <v>20</v>
      </c>
      <c r="L71">
        <v>20</v>
      </c>
      <c r="M71">
        <v>45</v>
      </c>
    </row>
    <row r="72" spans="1:13" x14ac:dyDescent="0.3">
      <c r="A72">
        <v>3413</v>
      </c>
      <c r="B72" t="s">
        <v>208</v>
      </c>
      <c r="C72" t="s">
        <v>18</v>
      </c>
      <c r="D72" s="16">
        <v>45530</v>
      </c>
      <c r="E72" t="s">
        <v>23</v>
      </c>
      <c r="F72">
        <v>15</v>
      </c>
      <c r="G72" t="s">
        <v>27</v>
      </c>
      <c r="H72" t="s">
        <v>19</v>
      </c>
      <c r="I72">
        <v>30</v>
      </c>
      <c r="J72" t="s">
        <v>19</v>
      </c>
      <c r="K72">
        <v>20</v>
      </c>
      <c r="L72">
        <v>20</v>
      </c>
      <c r="M72">
        <v>45</v>
      </c>
    </row>
    <row r="73" spans="1:13" x14ac:dyDescent="0.3">
      <c r="A73">
        <v>3407</v>
      </c>
      <c r="B73" t="s">
        <v>202</v>
      </c>
      <c r="C73" t="s">
        <v>18</v>
      </c>
      <c r="D73" s="16">
        <v>45524</v>
      </c>
      <c r="E73" t="s">
        <v>23</v>
      </c>
      <c r="F73">
        <v>15</v>
      </c>
      <c r="G73" t="s">
        <v>27</v>
      </c>
      <c r="H73" t="s">
        <v>19</v>
      </c>
      <c r="I73">
        <v>30</v>
      </c>
      <c r="J73" t="s">
        <v>19</v>
      </c>
      <c r="K73">
        <v>20</v>
      </c>
      <c r="L73">
        <v>7</v>
      </c>
      <c r="M73">
        <v>58</v>
      </c>
    </row>
    <row r="74" spans="1:13" x14ac:dyDescent="0.3">
      <c r="A74">
        <v>3394</v>
      </c>
      <c r="B74" t="s">
        <v>190</v>
      </c>
      <c r="C74" t="s">
        <v>18</v>
      </c>
      <c r="D74" s="16">
        <v>45511</v>
      </c>
      <c r="E74" t="s">
        <v>19</v>
      </c>
      <c r="F74">
        <v>15</v>
      </c>
      <c r="G74" t="s">
        <v>27</v>
      </c>
      <c r="H74" t="s">
        <v>19</v>
      </c>
      <c r="I74">
        <v>30</v>
      </c>
      <c r="J74" t="s">
        <v>19</v>
      </c>
      <c r="K74">
        <v>20</v>
      </c>
      <c r="L74">
        <v>7</v>
      </c>
      <c r="M74">
        <v>58</v>
      </c>
    </row>
    <row r="75" spans="1:13" x14ac:dyDescent="0.3">
      <c r="A75">
        <v>3282</v>
      </c>
      <c r="B75" t="s">
        <v>80</v>
      </c>
      <c r="C75" t="s">
        <v>18</v>
      </c>
      <c r="D75" s="16">
        <v>45399</v>
      </c>
      <c r="E75" t="s">
        <v>19</v>
      </c>
      <c r="F75">
        <v>15</v>
      </c>
      <c r="G75" t="s">
        <v>27</v>
      </c>
      <c r="H75" t="s">
        <v>19</v>
      </c>
      <c r="I75">
        <v>30</v>
      </c>
      <c r="J75" t="s">
        <v>19</v>
      </c>
      <c r="K75">
        <v>20</v>
      </c>
      <c r="L75">
        <v>7</v>
      </c>
      <c r="M75">
        <v>58</v>
      </c>
    </row>
    <row r="76" spans="1:13" x14ac:dyDescent="0.3">
      <c r="A76">
        <v>3382</v>
      </c>
      <c r="B76" t="s">
        <v>179</v>
      </c>
      <c r="C76" t="s">
        <v>18</v>
      </c>
      <c r="D76" s="16">
        <v>45499</v>
      </c>
      <c r="E76" t="s">
        <v>19</v>
      </c>
      <c r="F76">
        <v>15</v>
      </c>
      <c r="G76" t="s">
        <v>27</v>
      </c>
      <c r="H76" t="s">
        <v>19</v>
      </c>
      <c r="I76">
        <v>30</v>
      </c>
      <c r="J76" t="s">
        <v>19</v>
      </c>
      <c r="K76">
        <v>20</v>
      </c>
      <c r="L76">
        <v>7</v>
      </c>
      <c r="M76">
        <v>58</v>
      </c>
    </row>
    <row r="77" spans="1:13" x14ac:dyDescent="0.3">
      <c r="A77">
        <v>3373</v>
      </c>
      <c r="B77" t="s">
        <v>170</v>
      </c>
      <c r="C77" t="s">
        <v>18</v>
      </c>
      <c r="D77" s="16">
        <v>45490</v>
      </c>
      <c r="E77" t="s">
        <v>23</v>
      </c>
      <c r="F77">
        <v>15</v>
      </c>
      <c r="G77" t="s">
        <v>27</v>
      </c>
      <c r="H77" t="s">
        <v>19</v>
      </c>
      <c r="I77">
        <v>30</v>
      </c>
      <c r="J77" t="s">
        <v>19</v>
      </c>
      <c r="K77">
        <v>20</v>
      </c>
      <c r="L77">
        <v>20</v>
      </c>
      <c r="M77">
        <v>45</v>
      </c>
    </row>
    <row r="78" spans="1:13" x14ac:dyDescent="0.3">
      <c r="A78">
        <v>3367</v>
      </c>
      <c r="B78" t="s">
        <v>164</v>
      </c>
      <c r="C78" t="s">
        <v>18</v>
      </c>
      <c r="D78" s="16">
        <v>45484</v>
      </c>
      <c r="E78" t="s">
        <v>23</v>
      </c>
      <c r="F78">
        <v>15</v>
      </c>
      <c r="G78" t="s">
        <v>27</v>
      </c>
      <c r="H78" t="s">
        <v>19</v>
      </c>
      <c r="I78">
        <v>30</v>
      </c>
      <c r="J78" t="s">
        <v>19</v>
      </c>
      <c r="K78">
        <v>20</v>
      </c>
      <c r="L78">
        <v>7</v>
      </c>
      <c r="M78">
        <v>58</v>
      </c>
    </row>
    <row r="79" spans="1:13" x14ac:dyDescent="0.3">
      <c r="A79">
        <v>3364</v>
      </c>
      <c r="B79" t="s">
        <v>161</v>
      </c>
      <c r="C79" t="s">
        <v>18</v>
      </c>
      <c r="D79" s="16">
        <v>45481</v>
      </c>
      <c r="E79" t="s">
        <v>19</v>
      </c>
      <c r="F79">
        <v>15</v>
      </c>
      <c r="G79" t="s">
        <v>27</v>
      </c>
      <c r="H79" t="s">
        <v>19</v>
      </c>
      <c r="I79">
        <v>30</v>
      </c>
      <c r="J79" t="s">
        <v>19</v>
      </c>
      <c r="K79">
        <v>20</v>
      </c>
      <c r="L79">
        <v>7</v>
      </c>
      <c r="M79">
        <v>58</v>
      </c>
    </row>
    <row r="80" spans="1:13" x14ac:dyDescent="0.3">
      <c r="A80">
        <v>3294</v>
      </c>
      <c r="B80" t="s">
        <v>92</v>
      </c>
      <c r="C80" t="s">
        <v>18</v>
      </c>
      <c r="D80" s="16">
        <v>45411</v>
      </c>
      <c r="E80" t="s">
        <v>19</v>
      </c>
      <c r="F80">
        <v>15</v>
      </c>
      <c r="G80" t="s">
        <v>27</v>
      </c>
      <c r="H80" t="s">
        <v>19</v>
      </c>
      <c r="I80">
        <v>30</v>
      </c>
      <c r="J80" t="s">
        <v>19</v>
      </c>
      <c r="K80">
        <v>20</v>
      </c>
      <c r="L80">
        <v>20</v>
      </c>
      <c r="M80">
        <v>45</v>
      </c>
    </row>
    <row r="81" spans="1:13" x14ac:dyDescent="0.3">
      <c r="A81">
        <v>3297</v>
      </c>
      <c r="B81" t="s">
        <v>95</v>
      </c>
      <c r="C81" t="s">
        <v>18</v>
      </c>
      <c r="D81" s="16">
        <v>45414</v>
      </c>
      <c r="E81" t="s">
        <v>19</v>
      </c>
      <c r="F81">
        <v>15</v>
      </c>
      <c r="G81" t="s">
        <v>27</v>
      </c>
      <c r="H81" t="s">
        <v>19</v>
      </c>
      <c r="I81">
        <v>30</v>
      </c>
      <c r="J81" t="s">
        <v>19</v>
      </c>
      <c r="K81">
        <v>20</v>
      </c>
      <c r="L81">
        <v>7</v>
      </c>
      <c r="M81">
        <v>58</v>
      </c>
    </row>
    <row r="82" spans="1:13" x14ac:dyDescent="0.3">
      <c r="A82">
        <v>3352</v>
      </c>
      <c r="B82" t="s">
        <v>149</v>
      </c>
      <c r="C82" t="s">
        <v>18</v>
      </c>
      <c r="D82" s="16">
        <v>45469</v>
      </c>
      <c r="E82" t="s">
        <v>19</v>
      </c>
      <c r="F82">
        <v>15</v>
      </c>
      <c r="G82" t="s">
        <v>27</v>
      </c>
      <c r="H82" t="s">
        <v>19</v>
      </c>
      <c r="I82">
        <v>30</v>
      </c>
      <c r="J82" t="s">
        <v>19</v>
      </c>
      <c r="K82">
        <v>20</v>
      </c>
      <c r="L82">
        <v>7</v>
      </c>
      <c r="M82">
        <v>58</v>
      </c>
    </row>
    <row r="83" spans="1:13" x14ac:dyDescent="0.3">
      <c r="A83">
        <v>3343</v>
      </c>
      <c r="B83" t="s">
        <v>141</v>
      </c>
      <c r="C83" t="s">
        <v>18</v>
      </c>
      <c r="D83" s="16">
        <v>45460</v>
      </c>
      <c r="E83" t="s">
        <v>23</v>
      </c>
      <c r="F83">
        <v>15</v>
      </c>
      <c r="G83" t="s">
        <v>27</v>
      </c>
      <c r="H83" t="s">
        <v>19</v>
      </c>
      <c r="I83">
        <v>30</v>
      </c>
      <c r="J83" t="s">
        <v>19</v>
      </c>
      <c r="K83">
        <v>20</v>
      </c>
      <c r="L83">
        <v>20</v>
      </c>
      <c r="M83">
        <v>45</v>
      </c>
    </row>
    <row r="84" spans="1:13" x14ac:dyDescent="0.3">
      <c r="A84">
        <v>3303</v>
      </c>
      <c r="B84" t="s">
        <v>101</v>
      </c>
      <c r="C84" t="s">
        <v>18</v>
      </c>
      <c r="D84" s="16">
        <v>45420</v>
      </c>
      <c r="E84" t="s">
        <v>19</v>
      </c>
      <c r="F84">
        <v>15</v>
      </c>
      <c r="G84" t="s">
        <v>27</v>
      </c>
      <c r="H84" t="s">
        <v>19</v>
      </c>
      <c r="I84">
        <v>30</v>
      </c>
      <c r="J84" t="s">
        <v>19</v>
      </c>
      <c r="K84">
        <v>20</v>
      </c>
      <c r="L84">
        <v>20</v>
      </c>
      <c r="M84">
        <v>45</v>
      </c>
    </row>
    <row r="85" spans="1:13" x14ac:dyDescent="0.3">
      <c r="A85">
        <v>3337</v>
      </c>
      <c r="B85" t="s">
        <v>135</v>
      </c>
      <c r="C85" t="s">
        <v>18</v>
      </c>
      <c r="D85" s="16">
        <v>45454</v>
      </c>
      <c r="E85" t="s">
        <v>23</v>
      </c>
      <c r="F85">
        <v>15</v>
      </c>
      <c r="G85" t="s">
        <v>27</v>
      </c>
      <c r="H85" t="s">
        <v>19</v>
      </c>
      <c r="I85">
        <v>30</v>
      </c>
      <c r="J85" t="s">
        <v>19</v>
      </c>
      <c r="K85">
        <v>20</v>
      </c>
      <c r="L85">
        <v>7</v>
      </c>
      <c r="M85">
        <v>58</v>
      </c>
    </row>
    <row r="86" spans="1:13" x14ac:dyDescent="0.3">
      <c r="A86">
        <v>3333</v>
      </c>
      <c r="B86" t="s">
        <v>131</v>
      </c>
      <c r="C86" t="s">
        <v>18</v>
      </c>
      <c r="D86" s="16">
        <v>45450</v>
      </c>
      <c r="E86" t="s">
        <v>19</v>
      </c>
      <c r="F86">
        <v>15</v>
      </c>
      <c r="G86" t="s">
        <v>27</v>
      </c>
      <c r="H86" t="s">
        <v>19</v>
      </c>
      <c r="I86">
        <v>30</v>
      </c>
      <c r="J86" t="s">
        <v>19</v>
      </c>
      <c r="K86">
        <v>20</v>
      </c>
      <c r="L86">
        <v>20</v>
      </c>
      <c r="M86">
        <v>45</v>
      </c>
    </row>
    <row r="87" spans="1:13" x14ac:dyDescent="0.3">
      <c r="A87">
        <v>3312</v>
      </c>
      <c r="B87" t="s">
        <v>110</v>
      </c>
      <c r="C87" t="s">
        <v>18</v>
      </c>
      <c r="D87" s="16">
        <v>45429</v>
      </c>
      <c r="E87" t="s">
        <v>23</v>
      </c>
      <c r="F87">
        <v>15</v>
      </c>
      <c r="G87" t="s">
        <v>27</v>
      </c>
      <c r="H87" t="s">
        <v>19</v>
      </c>
      <c r="I87">
        <v>30</v>
      </c>
      <c r="J87" t="s">
        <v>19</v>
      </c>
      <c r="K87">
        <v>20</v>
      </c>
      <c r="L87">
        <v>7</v>
      </c>
      <c r="M87">
        <v>58</v>
      </c>
    </row>
    <row r="88" spans="1:13" x14ac:dyDescent="0.3">
      <c r="A88">
        <v>3324</v>
      </c>
      <c r="B88" t="s">
        <v>122</v>
      </c>
      <c r="C88" t="s">
        <v>18</v>
      </c>
      <c r="D88" s="16">
        <v>45441</v>
      </c>
      <c r="E88" t="s">
        <v>23</v>
      </c>
      <c r="F88">
        <v>15</v>
      </c>
      <c r="G88" t="s">
        <v>27</v>
      </c>
      <c r="H88" t="s">
        <v>19</v>
      </c>
      <c r="I88">
        <v>30</v>
      </c>
      <c r="J88" t="s">
        <v>19</v>
      </c>
      <c r="K88">
        <v>20</v>
      </c>
      <c r="L88">
        <v>20</v>
      </c>
      <c r="M8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G34"/>
  <sheetViews>
    <sheetView showGridLines="0" topLeftCell="C13" workbookViewId="0">
      <selection activeCell="E42" sqref="E42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8.6640625" bestFit="1" customWidth="1"/>
    <col min="5" max="5" width="11.88671875" bestFit="1" customWidth="1"/>
    <col min="6" max="6" width="10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3" x14ac:dyDescent="0.3">
      <c r="A1" t="s">
        <v>313</v>
      </c>
    </row>
    <row r="3" spans="1:3" x14ac:dyDescent="0.3">
      <c r="A3" t="s">
        <v>317</v>
      </c>
    </row>
    <row r="4" spans="1:3" x14ac:dyDescent="0.3">
      <c r="A4" t="s">
        <v>318</v>
      </c>
    </row>
    <row r="6" spans="1:3" x14ac:dyDescent="0.3">
      <c r="B6" s="12" t="s">
        <v>16</v>
      </c>
      <c r="C6" t="s">
        <v>24</v>
      </c>
    </row>
    <row r="8" spans="1:3" x14ac:dyDescent="0.3">
      <c r="B8" s="12" t="s">
        <v>314</v>
      </c>
      <c r="C8" t="s">
        <v>316</v>
      </c>
    </row>
    <row r="9" spans="1:3" x14ac:dyDescent="0.3">
      <c r="B9" s="13" t="s">
        <v>23</v>
      </c>
      <c r="C9" s="14">
        <v>217</v>
      </c>
    </row>
    <row r="10" spans="1:3" x14ac:dyDescent="0.3">
      <c r="B10" s="13" t="s">
        <v>19</v>
      </c>
      <c r="C10" s="14">
        <v>1537</v>
      </c>
    </row>
    <row r="11" spans="1:3" x14ac:dyDescent="0.3">
      <c r="B11" s="13" t="s">
        <v>315</v>
      </c>
      <c r="C11" s="14">
        <v>1754</v>
      </c>
    </row>
    <row r="14" spans="1:3" x14ac:dyDescent="0.3">
      <c r="A14" t="s">
        <v>320</v>
      </c>
    </row>
    <row r="17" spans="1:7" x14ac:dyDescent="0.3">
      <c r="B17" s="12" t="s">
        <v>16</v>
      </c>
      <c r="C17" t="s">
        <v>24</v>
      </c>
    </row>
    <row r="19" spans="1:7" x14ac:dyDescent="0.3">
      <c r="B19" s="12" t="s">
        <v>314</v>
      </c>
      <c r="C19" t="s">
        <v>321</v>
      </c>
    </row>
    <row r="20" spans="1:7" x14ac:dyDescent="0.3">
      <c r="B20" s="13" t="s">
        <v>22</v>
      </c>
      <c r="C20">
        <v>0</v>
      </c>
    </row>
    <row r="21" spans="1:7" x14ac:dyDescent="0.3">
      <c r="B21" s="13" t="s">
        <v>26</v>
      </c>
      <c r="C21">
        <v>0</v>
      </c>
    </row>
    <row r="22" spans="1:7" x14ac:dyDescent="0.3">
      <c r="B22" s="13" t="s">
        <v>18</v>
      </c>
      <c r="C22">
        <v>600</v>
      </c>
    </row>
    <row r="23" spans="1:7" x14ac:dyDescent="0.3">
      <c r="B23" s="13" t="s">
        <v>315</v>
      </c>
      <c r="C23">
        <v>600</v>
      </c>
      <c r="D23" s="18"/>
      <c r="E23" s="20">
        <f>GETPIVOTDATA("EA Play Season Pass
Price",$B$19)</f>
        <v>600</v>
      </c>
      <c r="G23" s="19"/>
    </row>
    <row r="26" spans="1:7" x14ac:dyDescent="0.3">
      <c r="A26" t="s">
        <v>324</v>
      </c>
    </row>
    <row r="28" spans="1:7" x14ac:dyDescent="0.3">
      <c r="B28" s="12" t="s">
        <v>16</v>
      </c>
      <c r="C28" t="s">
        <v>24</v>
      </c>
    </row>
    <row r="30" spans="1:7" x14ac:dyDescent="0.3">
      <c r="B30" s="12" t="s">
        <v>314</v>
      </c>
      <c r="C30" t="s">
        <v>325</v>
      </c>
    </row>
    <row r="31" spans="1:7" x14ac:dyDescent="0.3">
      <c r="B31" s="13" t="s">
        <v>22</v>
      </c>
      <c r="C31" s="14">
        <v>0</v>
      </c>
    </row>
    <row r="32" spans="1:7" x14ac:dyDescent="0.3">
      <c r="B32" s="13" t="s">
        <v>26</v>
      </c>
      <c r="C32" s="14">
        <v>540</v>
      </c>
    </row>
    <row r="33" spans="2:5" x14ac:dyDescent="0.3">
      <c r="B33" s="13" t="s">
        <v>18</v>
      </c>
      <c r="C33" s="14">
        <v>400</v>
      </c>
    </row>
    <row r="34" spans="2:5" x14ac:dyDescent="0.3">
      <c r="B34" s="13" t="s">
        <v>315</v>
      </c>
      <c r="C34" s="14">
        <v>940</v>
      </c>
      <c r="E34" s="20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N66"/>
  <sheetViews>
    <sheetView showGridLines="0" showRowColHeaders="0" tabSelected="1" zoomScale="80" zoomScaleNormal="80" workbookViewId="0">
      <selection activeCell="K9" sqref="K9"/>
    </sheetView>
  </sheetViews>
  <sheetFormatPr defaultRowHeight="14.4" x14ac:dyDescent="0.3"/>
  <cols>
    <col min="1" max="1" width="29.109375" style="4" customWidth="1"/>
    <col min="2" max="2" width="3.5546875" customWidth="1"/>
    <col min="12" max="12" width="6.5546875" customWidth="1"/>
  </cols>
  <sheetData>
    <row r="2" spans="1:14" ht="18" thickBot="1" x14ac:dyDescent="0.4">
      <c r="C2" s="22" t="s">
        <v>319</v>
      </c>
      <c r="D2" s="15"/>
      <c r="E2" s="15"/>
      <c r="F2" s="15"/>
      <c r="G2" s="15"/>
      <c r="H2" s="21"/>
      <c r="I2" s="21"/>
      <c r="J2" s="21"/>
      <c r="K2" s="21"/>
      <c r="L2" s="21"/>
      <c r="M2" s="21"/>
      <c r="N2" s="21"/>
    </row>
    <row r="3" spans="1:14" ht="45" customHeight="1" thickTop="1" x14ac:dyDescent="0.3"/>
    <row r="4" spans="1:14" s="7" customFormat="1" ht="58.8" customHeight="1" x14ac:dyDescent="0.3">
      <c r="A4" s="4"/>
    </row>
    <row r="5" spans="1:14" s="7" customFormat="1" ht="8.25" customHeight="1" x14ac:dyDescent="0.3">
      <c r="A5" s="4"/>
    </row>
    <row r="6" spans="1:14" s="7" customFormat="1" ht="7.5" customHeight="1" x14ac:dyDescent="0.3">
      <c r="A6" s="4"/>
    </row>
    <row r="7" spans="1:14" s="7" customFormat="1" ht="10.5" customHeight="1" x14ac:dyDescent="0.3">
      <c r="A7" s="4"/>
    </row>
    <row r="8" spans="1:14" s="7" customFormat="1" ht="9.75" customHeight="1" x14ac:dyDescent="0.3">
      <c r="A8" s="4"/>
    </row>
    <row r="9" spans="1:14" s="7" customFormat="1" ht="33" customHeight="1" x14ac:dyDescent="0.3">
      <c r="A9" s="4"/>
    </row>
    <row r="10" spans="1:14" s="7" customFormat="1" x14ac:dyDescent="0.3">
      <c r="A10" s="4"/>
    </row>
    <row r="11" spans="1:14" s="7" customFormat="1" x14ac:dyDescent="0.3">
      <c r="A11" s="4"/>
    </row>
    <row r="12" spans="1:14" s="7" customFormat="1" x14ac:dyDescent="0.3">
      <c r="A12" s="4"/>
    </row>
    <row r="13" spans="1:14" s="7" customFormat="1" x14ac:dyDescent="0.3">
      <c r="A13" s="4"/>
    </row>
    <row r="14" spans="1:14" s="7" customFormat="1" x14ac:dyDescent="0.3">
      <c r="A14" s="4"/>
    </row>
    <row r="15" spans="1:14" s="7" customFormat="1" x14ac:dyDescent="0.3">
      <c r="A15" s="4"/>
    </row>
    <row r="16" spans="1:14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Detalhes1</vt:lpstr>
      <vt:lpstr>Detalhes2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Caroline Macedo de Castro</cp:lastModifiedBy>
  <dcterms:created xsi:type="dcterms:W3CDTF">2024-12-19T13:13:10Z</dcterms:created>
  <dcterms:modified xsi:type="dcterms:W3CDTF">2025-11-08T16:43:16Z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